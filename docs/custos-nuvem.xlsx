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lherme.portilho\Music\Codigos\GitHub\PI-2026.2\docs\"/>
    </mc:Choice>
  </mc:AlternateContent>
  <xr:revisionPtr revIDLastSave="0" documentId="13_ncr:1_{8006F705-AABE-42F2-A963-C775CB13EBAB}" xr6:coauthVersionLast="47" xr6:coauthVersionMax="47" xr10:uidLastSave="{00000000-0000-0000-0000-000000000000}"/>
  <bookViews>
    <workbookView xWindow="17700" yWindow="15735" windowWidth="29040" windowHeight="15720" activeTab="4" xr2:uid="{00000000-000D-0000-FFFF-FFFF00000000}"/>
  </bookViews>
  <sheets>
    <sheet name="Resumo Comparativo" sheetId="1" r:id="rId1"/>
    <sheet name="AWS - Detalhamento" sheetId="2" r:id="rId2"/>
    <sheet name="Azure - Detalhamento" sheetId="3" r:id="rId3"/>
    <sheet name="GCP - Detalhamento" sheetId="4" r:id="rId4"/>
    <sheet name="Prints &amp; Evidênci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4" l="1"/>
  <c r="H17" i="4"/>
  <c r="H16" i="4"/>
  <c r="G15" i="4"/>
  <c r="H15" i="4" s="1"/>
  <c r="H14" i="4"/>
  <c r="H13" i="4"/>
  <c r="H11" i="4"/>
  <c r="H10" i="4"/>
  <c r="H8" i="4"/>
  <c r="H7" i="4"/>
  <c r="G6" i="4"/>
  <c r="G29" i="4" s="1"/>
  <c r="H19" i="3"/>
  <c r="H17" i="3"/>
  <c r="H16" i="3"/>
  <c r="G15" i="3"/>
  <c r="H15" i="3" s="1"/>
  <c r="H14" i="3"/>
  <c r="H13" i="3"/>
  <c r="G12" i="3"/>
  <c r="H12" i="3" s="1"/>
  <c r="H11" i="3"/>
  <c r="H10" i="3"/>
  <c r="H8" i="3"/>
  <c r="H7" i="3"/>
  <c r="G6" i="3"/>
  <c r="E13" i="1" s="1"/>
  <c r="H19" i="2"/>
  <c r="H17" i="2"/>
  <c r="H16" i="2"/>
  <c r="G15" i="2"/>
  <c r="H15" i="2" s="1"/>
  <c r="H14" i="2"/>
  <c r="H13" i="2"/>
  <c r="G12" i="2"/>
  <c r="H12" i="2" s="1"/>
  <c r="H11" i="2"/>
  <c r="H10" i="2"/>
  <c r="H8" i="2"/>
  <c r="H7" i="2"/>
  <c r="G6" i="2"/>
  <c r="G29" i="2" s="1"/>
  <c r="G17" i="1"/>
  <c r="H17" i="1" s="1"/>
  <c r="E17" i="1"/>
  <c r="F17" i="1" s="1"/>
  <c r="C17" i="1"/>
  <c r="D17" i="1" s="1"/>
  <c r="G16" i="1"/>
  <c r="H16" i="1" s="1"/>
  <c r="E16" i="1"/>
  <c r="F16" i="1" s="1"/>
  <c r="C16" i="1"/>
  <c r="D16" i="1" s="1"/>
  <c r="G15" i="1"/>
  <c r="H15" i="1" s="1"/>
  <c r="E15" i="1"/>
  <c r="F15" i="1" s="1"/>
  <c r="C15" i="1"/>
  <c r="D15" i="1" s="1"/>
  <c r="G14" i="1"/>
  <c r="H14" i="1" s="1"/>
  <c r="E14" i="1"/>
  <c r="F14" i="1" s="1"/>
  <c r="C14" i="1"/>
  <c r="D14" i="1" s="1"/>
  <c r="G12" i="4" l="1"/>
  <c r="G9" i="4" s="1"/>
  <c r="H9" i="4" s="1"/>
  <c r="I17" i="1"/>
  <c r="G9" i="3"/>
  <c r="H9" i="3" s="1"/>
  <c r="I16" i="1"/>
  <c r="I14" i="1"/>
  <c r="I15" i="1"/>
  <c r="H29" i="2"/>
  <c r="C25" i="1"/>
  <c r="D25" i="1" s="1"/>
  <c r="H29" i="4"/>
  <c r="G25" i="1"/>
  <c r="F13" i="1"/>
  <c r="E18" i="1"/>
  <c r="C13" i="1"/>
  <c r="G23" i="2"/>
  <c r="H12" i="4"/>
  <c r="H6" i="2"/>
  <c r="G9" i="2"/>
  <c r="H9" i="2" s="1"/>
  <c r="G23" i="3"/>
  <c r="H6" i="3"/>
  <c r="G29" i="3"/>
  <c r="G23" i="4"/>
  <c r="G13" i="1"/>
  <c r="H6" i="4"/>
  <c r="G18" i="1" l="1"/>
  <c r="H13" i="1"/>
  <c r="G26" i="4"/>
  <c r="H23" i="4"/>
  <c r="G18" i="4"/>
  <c r="H18" i="4" s="1"/>
  <c r="H29" i="3"/>
  <c r="E25" i="1"/>
  <c r="G26" i="3"/>
  <c r="H23" i="3"/>
  <c r="G18" i="3"/>
  <c r="H18" i="3" s="1"/>
  <c r="G26" i="2"/>
  <c r="H23" i="2"/>
  <c r="G18" i="2"/>
  <c r="H18" i="2" s="1"/>
  <c r="C18" i="1"/>
  <c r="I13" i="1"/>
  <c r="D13" i="1"/>
  <c r="E19" i="1"/>
  <c r="E24" i="1"/>
  <c r="F18" i="1"/>
  <c r="J25" i="1"/>
  <c r="H25" i="1"/>
  <c r="F24" i="1" l="1"/>
  <c r="F19" i="1"/>
  <c r="C19" i="1"/>
  <c r="I18" i="1"/>
  <c r="I19" i="1" s="1"/>
  <c r="D18" i="1"/>
  <c r="C24" i="1"/>
  <c r="I24" i="1" s="1"/>
  <c r="H26" i="2"/>
  <c r="C26" i="1"/>
  <c r="D26" i="1" s="1"/>
  <c r="I25" i="1"/>
  <c r="F25" i="1"/>
  <c r="H26" i="3"/>
  <c r="E26" i="1"/>
  <c r="H26" i="4"/>
  <c r="G26" i="1"/>
  <c r="H18" i="1"/>
  <c r="G24" i="1"/>
  <c r="J24" i="1" s="1"/>
  <c r="G19" i="1"/>
  <c r="J26" i="1" l="1"/>
  <c r="H26" i="1"/>
  <c r="H24" i="1"/>
  <c r="H19" i="1"/>
  <c r="I26" i="1"/>
  <c r="F26" i="1"/>
  <c r="D19" i="1"/>
  <c r="D24" i="1"/>
</calcChain>
</file>

<file path=xl/sharedStrings.xml><?xml version="1.0" encoding="utf-8"?>
<sst xmlns="http://schemas.openxmlformats.org/spreadsheetml/2006/main" count="397" uniqueCount="290">
  <si>
    <t>SOUFER TOOLS - COMPARATIVO DE CUSTOS EM NUVEM (AWS vs AZURE vs GCP)</t>
  </si>
  <si>
    <t>Estimativa Mensal e Anual de Custos de Infraestrutura | Região Base: US East (N. Virginia / East US / us-central1) | Cotação Fixada: USD 1.00 = R$ 5,50</t>
  </si>
  <si>
    <t>Cotação USD/BRL:</t>
  </si>
  <si>
    <t>Data da Simulação:</t>
  </si>
  <si>
    <t>Setembro / 2026</t>
  </si>
  <si>
    <t>Responsável Técnico:</t>
  </si>
  <si>
    <t>TABELA 1: COMPOSIÇÃO DE CUSTOS MENSAIS POR COMPONENTE (Cenário Base Recomendado - PaaS / DBaaS Gerenciado)</t>
  </si>
  <si>
    <t>Componente da Arquitetura</t>
  </si>
  <si>
    <t>Modelo</t>
  </si>
  <si>
    <t>AWS (USD)</t>
  </si>
  <si>
    <t>AWS (BRL)</t>
  </si>
  <si>
    <t>Azure (USD)</t>
  </si>
  <si>
    <t>Azure (BRL)</t>
  </si>
  <si>
    <t>GCP (USD)</t>
  </si>
  <si>
    <t>GCP (BRL)</t>
  </si>
  <si>
    <t>Média (USD)</t>
  </si>
  <si>
    <t>Menor Custo</t>
  </si>
  <si>
    <t>API / Back-end (Compute + OS Disk)</t>
  </si>
  <si>
    <t>IaaS</t>
  </si>
  <si>
    <t>GCP ($9.11)</t>
  </si>
  <si>
    <t>Front-end Hosting (Storage + Ops)</t>
  </si>
  <si>
    <t>PaaS</t>
  </si>
  <si>
    <t>Azure/GCP ($0.24)</t>
  </si>
  <si>
    <t>CDN &amp; Egress (100GB Out + SSL)</t>
  </si>
  <si>
    <t>Edge/CDN</t>
  </si>
  <si>
    <t>AWS ($1.00)</t>
  </si>
  <si>
    <t>Banco de Dados (PostgreSQL Gerenciado)</t>
  </si>
  <si>
    <t>DBaaS</t>
  </si>
  <si>
    <t>GCP ($12.67)</t>
  </si>
  <si>
    <t>Monitoramento &amp; Logs (CloudWatch/Monitor)</t>
  </si>
  <si>
    <t>SaaS</t>
  </si>
  <si>
    <t>GCP ($0.00 Free)</t>
  </si>
  <si>
    <t>TOTAL MENSAL ESTIMADO</t>
  </si>
  <si>
    <t>USD / BRL</t>
  </si>
  <si>
    <t>AWS ($29.51)</t>
  </si>
  <si>
    <t>TOTAL ANUAL ESTIMADO (12 Meses)</t>
  </si>
  <si>
    <t>1 Ano</t>
  </si>
  <si>
    <t>AWS ($354.12)</t>
  </si>
  <si>
    <t>TABELA 2: COMPARATIVO ESTRATÉGICO POR CENÁRIOS DE INFRAESTRUTURA</t>
  </si>
  <si>
    <t>Cenário de Infraestrutura</t>
  </si>
  <si>
    <t>Descrição Arquitetural</t>
  </si>
  <si>
    <t>Diferença AWS vs Azure</t>
  </si>
  <si>
    <t>Diferença AWS vs GCP</t>
  </si>
  <si>
    <t>Cenário 1: Recomendado (DBaaS Gerenciado)</t>
  </si>
  <si>
    <t>EC2/VM + S3/Blob/GCS + CDN + RDS/Flexible/CloudSQL</t>
  </si>
  <si>
    <t>Cenário 2: Econômico (PostgreSQL Self-Hosted)</t>
  </si>
  <si>
    <t>PostgreSQL instalado na própria VM EC2/B1s/e2-micro</t>
  </si>
  <si>
    <t>Cenário 3: Alta Disponibilidade (Plano B)</t>
  </si>
  <si>
    <t>Cenário 1 + 2ª Instância em Standby p/ Failover Contínuo</t>
  </si>
  <si>
    <t>TABELA 3: MATRIZ DE TRADE-OFFS TÉCNICOS E FINANCEIROS</t>
  </si>
  <si>
    <t>Critério de Decisão</t>
  </si>
  <si>
    <t>AWS</t>
  </si>
  <si>
    <t>Microsoft Azure</t>
  </si>
  <si>
    <t>Google Cloud (GCP)</t>
  </si>
  <si>
    <t>Recomendação Soufer</t>
  </si>
  <si>
    <t>Menor ($29.51/mês) devido ao Free Tier do CloudFront (1TB/mês incluso)</t>
  </si>
  <si>
    <t>Intermediário ($36.51/mês) - CDN cobra $0.081/GB desde 1º GB</t>
  </si>
  <si>
    <t>Competitivo ($32.52/mês) - Custo equilibrado</t>
  </si>
  <si>
    <t>AWS é a mais econômica no Cenário Base</t>
  </si>
  <si>
    <t>RDS automatiza backups, patches e triggers sem manutenção do SO</t>
  </si>
  <si>
    <t>Flexible Server entrega 2GB RAM na B1ms (alta estabilidade)</t>
  </si>
  <si>
    <t>Cloud SQL tem interface simples e backups automáticos nativos</t>
  </si>
  <si>
    <t>Adotar DBaaS (RDS/Flexible) para evitar risco operacional</t>
  </si>
  <si>
    <t>Economia de 52% ($14.07/mês), porém exige backup e scripts manuais</t>
  </si>
  <si>
    <t>Economia de 45% ($19.83/mês) com maior consumo de CPU/RAM</t>
  </si>
  <si>
    <t>Economia de 39% ($19.85/mês) - e2-micro pode sofrer com burst</t>
  </si>
  <si>
    <t>Usar apenas em PoC/Dev; Produção requer RDS</t>
  </si>
  <si>
    <t>+$9.99/mês para manter EC2 réplica com script de sincronização</t>
  </si>
  <si>
    <t>+$9.99/mês para manter VM réplica no mesmo VNet</t>
  </si>
  <si>
    <t>+$9.11/mês para manter GCE réplica em zona secundária</t>
  </si>
  <si>
    <t>Para contingência ágil, PaaS (Render/Railway) é mais barato</t>
  </si>
  <si>
    <t>AMAZON WEB SERVICES (AWS) - DETALHAMENTO DE CUSTOS POR ITEM</t>
  </si>
  <si>
    <t>Região: us-east-1 (N. Virginia) | Calculadora Oficial: https://calculator.aws/ | Taxa de Câmbio: ='Resumo Comparativo'!$B$5</t>
  </si>
  <si>
    <t>ID</t>
  </si>
  <si>
    <t>Componente Arquitetura</t>
  </si>
  <si>
    <t>Serviço no Provedor</t>
  </si>
  <si>
    <t>Especificação / Configuração</t>
  </si>
  <si>
    <t>Quantidade / Uso</t>
  </si>
  <si>
    <t>Custo Mensal (USD)</t>
  </si>
  <si>
    <t>Custo Mensal (BRL)</t>
  </si>
  <si>
    <t>Notas Técnicas &amp; Racional</t>
  </si>
  <si>
    <t>SUBTOTAL: API &amp; Compute (Back-end)</t>
  </si>
  <si>
    <t>Instância EC2 t3.micro + Volume gp3 EBS</t>
  </si>
  <si>
    <t>AWS-01</t>
  </si>
  <si>
    <t>API Back-end Compute</t>
  </si>
  <si>
    <t>Amazon EC2</t>
  </si>
  <si>
    <t>t3.micro (2 vCPU burst, 1 GiB RAM, Linux Ubuntu)</t>
  </si>
  <si>
    <t>730 horas/mês</t>
  </si>
  <si>
    <t>Taxa on-demand: $0.0104/hora em us-east-1</t>
  </si>
  <si>
    <t>AWS-02</t>
  </si>
  <si>
    <t>API Storage Disco SO</t>
  </si>
  <si>
    <t>Amazon EBS (gp3)</t>
  </si>
  <si>
    <t>30 GB gp3 SSD (3000 IOPS, 125 MB/s)</t>
  </si>
  <si>
    <t>IaaS Storage</t>
  </si>
  <si>
    <t>30 GB/mês</t>
  </si>
  <si>
    <t>$0.08 por GB-mês provisionado</t>
  </si>
  <si>
    <t>SUBTOTAL: Front-end Hosting</t>
  </si>
  <si>
    <t>Armazenamento S3 + Requisições HTTP</t>
  </si>
  <si>
    <t>AWS-03</t>
  </si>
  <si>
    <t>Front-end SPA Storage</t>
  </si>
  <si>
    <t>Amazon S3 Standard</t>
  </si>
  <si>
    <t>10 GB de armazenamento padrão (HTML/JS/CSS)</t>
  </si>
  <si>
    <t>PaaS Storage</t>
  </si>
  <si>
    <t>10 GB/mês</t>
  </si>
  <si>
    <t>$0.023 por GB-mês</t>
  </si>
  <si>
    <t>AWS-04</t>
  </si>
  <si>
    <t>Front-end Requests</t>
  </si>
  <si>
    <t>Amazon S3 Operations</t>
  </si>
  <si>
    <t>50.000 GET + 5.000 PUT requests</t>
  </si>
  <si>
    <t>PaaS Ops</t>
  </si>
  <si>
    <t>55k ops/mês</t>
  </si>
  <si>
    <t>$0.0004/1k GET; $0.005/1k PUT</t>
  </si>
  <si>
    <t>SUBTOTAL: CDN &amp; Distribuição</t>
  </si>
  <si>
    <t>Distribuição global com baixa latência</t>
  </si>
  <si>
    <t>AWS-05</t>
  </si>
  <si>
    <t>CDN Data Egress</t>
  </si>
  <si>
    <t>Amazon CloudFront</t>
  </si>
  <si>
    <t>100 GB Data Out + Certificado SSL (ACM)</t>
  </si>
  <si>
    <t>Edge / CDN</t>
  </si>
  <si>
    <t>100 GB/mês</t>
  </si>
  <si>
    <t>Coberto pelo Always Free Tier (até 1TB/mês)</t>
  </si>
  <si>
    <t>AWS-06</t>
  </si>
  <si>
    <t>CDN HTTPS Requests</t>
  </si>
  <si>
    <t>Amazon CloudFront Ops</t>
  </si>
  <si>
    <t>1.000.000 de requisições HTTPS</t>
  </si>
  <si>
    <t>Edge Ops</t>
  </si>
  <si>
    <t>1M req/mês</t>
  </si>
  <si>
    <t>$0.01 por 10k requisições (ou free no Free Tier)</t>
  </si>
  <si>
    <t>SUBTOTAL: Banco de Dados (DBaaS)</t>
  </si>
  <si>
    <t>PostgreSQL 16 Gerenciado com ACID estrito</t>
  </si>
  <si>
    <t>AWS-07</t>
  </si>
  <si>
    <t>Banco PostgreSQL Compute</t>
  </si>
  <si>
    <t>Amazon RDS PostgreSQL</t>
  </si>
  <si>
    <t>db.t3.micro (Single-AZ, 2 vCPU, 1 GiB RAM)</t>
  </si>
  <si>
    <t>$0.018 por hora on-demand</t>
  </si>
  <si>
    <t>AWS-08</t>
  </si>
  <si>
    <t>Banco PostgreSQL Storage</t>
  </si>
  <si>
    <t>Amazon RDS Storage (gp3)</t>
  </si>
  <si>
    <t>20 GB gp3 Storage + Backup Automático Incluso</t>
  </si>
  <si>
    <t>DBaaS Storage</t>
  </si>
  <si>
    <t>20 GB/mês</t>
  </si>
  <si>
    <t>$0.115/GB-mês; backup retenção até 100% free</t>
  </si>
  <si>
    <t>SUBTOTAL: Monitoramento &amp; Logs</t>
  </si>
  <si>
    <t>Telemetria centralizada sem infra própria</t>
  </si>
  <si>
    <t>AWS-09</t>
  </si>
  <si>
    <t>Telemetria &amp; Alarmes</t>
  </si>
  <si>
    <t>Amazon CloudWatch</t>
  </si>
  <si>
    <t>5 GB Logs PM2/Nginx + 3 Alarmes + Métricas</t>
  </si>
  <si>
    <t>5 GB logs/mês</t>
  </si>
  <si>
    <t>$0.50/GB log ingestão + $0.10/alarme padrão</t>
  </si>
  <si>
    <t>TOTAL</t>
  </si>
  <si>
    <t>CUSTO TOTAL MENSAL - CENÁRIO BASE (DBaaS Gerenciado)</t>
  </si>
  <si>
    <t>Soma exata das 5 peças principais recomendadas</t>
  </si>
  <si>
    <t>SIMULAÇÃO ADICIONAL: PLANO B - ALTA DISPONIBILIDADE CONTÍNUA (STANDBY INSTANCE)</t>
  </si>
  <si>
    <t>AWS-10</t>
  </si>
  <si>
    <t>Plano B: 2ª Instância Standby</t>
  </si>
  <si>
    <t>Amazon EC2 + EBS</t>
  </si>
  <si>
    <t>Segunda EC2 t3.micro (2 vCPU, 1GB RAM) + 30GB gp3</t>
  </si>
  <si>
    <t>IaaS Standby</t>
  </si>
  <si>
    <t>Instância em standby para failover contínuo em caso de falha da primária (+ $9.99/mês)</t>
  </si>
  <si>
    <t>SIMULAÇÃO COMPARATIVA: BANCO POSTGRESQL SELF-HOSTED (CENÁRIO ECONÔMICO)</t>
  </si>
  <si>
    <t>AWS-11</t>
  </si>
  <si>
    <t>PostgreSQL Self-Hosted na EC2</t>
  </si>
  <si>
    <t>EC2 Co-located / Local</t>
  </si>
  <si>
    <t>PostgreSQL instalado diretamente na EC2 t3.micro</t>
  </si>
  <si>
    <t>Compartilhado</t>
  </si>
  <si>
    <t>Economia de $15.44/mês ao eliminar o RDS, usando a mesma instância da API</t>
  </si>
  <si>
    <t>MICROSOFT AZURE - DETALHAMENTO DE CUSTOS POR ITEM</t>
  </si>
  <si>
    <t>Região: East US (Virginia) | Calculadora Oficial: https://azure.microsoft.com/en-us/pricing/calculator/ | Taxa de Câmbio: ='Resumo Comparativo'!$B$5</t>
  </si>
  <si>
    <t>Azure Virtual Machine B1s + Managed SSD</t>
  </si>
  <si>
    <t>AZ-01</t>
  </si>
  <si>
    <t>Azure Virtual Machines</t>
  </si>
  <si>
    <t>B1s Burstable (1 vCPU, 1 GiB RAM, Linux Ubuntu)</t>
  </si>
  <si>
    <t>Taxa pay-as-you-go em East US: ~$0.0104/hora</t>
  </si>
  <si>
    <t>AZ-02</t>
  </si>
  <si>
    <t>Azure Managed Disks</t>
  </si>
  <si>
    <t>32 GB Standard SSD (E4 / P4 tier)</t>
  </si>
  <si>
    <t>32 GB/mês</t>
  </si>
  <si>
    <t>Disco gerenciado de sistema operacional</t>
  </si>
  <si>
    <t>Azure Blob Storage para SPA estática</t>
  </si>
  <si>
    <t>AZ-03</t>
  </si>
  <si>
    <t>Azure Blob Storage</t>
  </si>
  <si>
    <t>10 GB Standard Hot (LRS redundância local)</t>
  </si>
  <si>
    <t>$0.0184 por GB-mês</t>
  </si>
  <si>
    <t>AZ-04</t>
  </si>
  <si>
    <t>Front-end Operations</t>
  </si>
  <si>
    <t>Azure Storage Ops</t>
  </si>
  <si>
    <t>50.000 Leituras + 5.000 Escritas</t>
  </si>
  <si>
    <t>Taxas de transação de dados</t>
  </si>
  <si>
    <t>Entrega acelerada de conteúdo com SSL</t>
  </si>
  <si>
    <t>AZ-05</t>
  </si>
  <si>
    <t>Azure CDN Standard</t>
  </si>
  <si>
    <t>100 GB Data Out para Internet + HTTPS</t>
  </si>
  <si>
    <t>$0.081 por GB de saída (sem free tier de CDN)</t>
  </si>
  <si>
    <t>AZ-06</t>
  </si>
  <si>
    <t>CDN Rules &amp; SSL</t>
  </si>
  <si>
    <t>Azure CDN Profile</t>
  </si>
  <si>
    <t>Certificado SSL Gerenciado Gratuito</t>
  </si>
  <si>
    <t>Edge Config</t>
  </si>
  <si>
    <t>1 Perfil</t>
  </si>
  <si>
    <t>Incluso no perfil CDN Standard</t>
  </si>
  <si>
    <t>Azure Database for PostgreSQL Flexible Server</t>
  </si>
  <si>
    <t>AZ-07</t>
  </si>
  <si>
    <t>Azure Database for PostgreSQL</t>
  </si>
  <si>
    <t>Flexible Server B1ms (1 vCPU, 2 GiB RAM)</t>
  </si>
  <si>
    <t>Vantagem de 2GB RAM em relação à AWS/GCP</t>
  </si>
  <si>
    <t>AZ-08</t>
  </si>
  <si>
    <t>Azure Managed DB Storage</t>
  </si>
  <si>
    <t>32 GB Standard Storage + Backups inclusos</t>
  </si>
  <si>
    <t>$0.115/GB-mês provisionado</t>
  </si>
  <si>
    <t>Azure Monitor Log Analytics</t>
  </si>
  <si>
    <t>AZ-09</t>
  </si>
  <si>
    <t>Azure Monitor</t>
  </si>
  <si>
    <t>5 GB Log Ingestion + Métricas básicas de VM</t>
  </si>
  <si>
    <t>5GB/mês gratuitos; alertas métricos básicos inclusos</t>
  </si>
  <si>
    <t>AZ-10</t>
  </si>
  <si>
    <t>Azure Virtual Machine + Disk</t>
  </si>
  <si>
    <t>Segunda VM B1s (1 vCPU, 1GB RAM) + 32GB SSD</t>
  </si>
  <si>
    <t>Segunda máquina virtual para replicação e failover (+ $9.99/mês)</t>
  </si>
  <si>
    <t>AZ-11</t>
  </si>
  <si>
    <t>PostgreSQL Self-Hosted na VM</t>
  </si>
  <si>
    <t>Azure VM Co-located</t>
  </si>
  <si>
    <t>PostgreSQL instalado diretamente na VM B1s</t>
  </si>
  <si>
    <t>Economia de $16.68/mês ao eliminar o Flexible Server</t>
  </si>
  <si>
    <t>GOOGLE CLOUD PLATFORM (GCP) - DETALHAMENTO DE CUSTOS POR ITEM</t>
  </si>
  <si>
    <t>Região: us-central1 (Iowa) | Calculadora Oficial: https://cloud.google.com/products/calculator | Taxa de Câmbio: ='Resumo Comparativo'!$B$5</t>
  </si>
  <si>
    <t>Compute Engine e2-micro + Balanced Persistent Disk</t>
  </si>
  <si>
    <t>GCP-01</t>
  </si>
  <si>
    <t>Compute Engine</t>
  </si>
  <si>
    <t>e2-micro (2 vCPU burst, 1 GiB RAM, Linux Ubuntu)</t>
  </si>
  <si>
    <t>Taxa on-demand padrão em us-central1 (Iowa)</t>
  </si>
  <si>
    <t>GCP-02</t>
  </si>
  <si>
    <t>Balanced Persistent Disk</t>
  </si>
  <si>
    <t>30 GB Balanced PD Storage</t>
  </si>
  <si>
    <t>$0.10 por GB-mês</t>
  </si>
  <si>
    <t>Google Cloud Storage para SPA estática</t>
  </si>
  <si>
    <t>GCP-03</t>
  </si>
  <si>
    <t>Cloud Storage Standard</t>
  </si>
  <si>
    <t>10 GB Standard Storage Class</t>
  </si>
  <si>
    <t>$0.020 por GB-mês</t>
  </si>
  <si>
    <t>GCP-04</t>
  </si>
  <si>
    <t>Cloud Storage Ops</t>
  </si>
  <si>
    <t>50.000 Classe B (Leitura) + 5.000 Classe A (Escrita)</t>
  </si>
  <si>
    <t>$0.0004/10k Classe B; $0.005/1k Classe A</t>
  </si>
  <si>
    <t>Cloud CDN integrado com Cloud Load Balancing</t>
  </si>
  <si>
    <t>GCP-05</t>
  </si>
  <si>
    <t>CDN Cache Egress</t>
  </si>
  <si>
    <t>Cloud CDN</t>
  </si>
  <si>
    <t>100 GB Cache Egress para Internet</t>
  </si>
  <si>
    <t>$0.08 por GB de saída de cache</t>
  </si>
  <si>
    <t>GCP-06</t>
  </si>
  <si>
    <t>Load Balancer Frontend</t>
  </si>
  <si>
    <t>External HTTP(S) LB</t>
  </si>
  <si>
    <t>Forwarding Rules + Certificado SSL Gerenciado</t>
  </si>
  <si>
    <t>Network / Edge</t>
  </si>
  <si>
    <t>Regra de encaminhamento compartilhado / CDN</t>
  </si>
  <si>
    <t>Cloud SQL for PostgreSQL Gerenciado</t>
  </si>
  <si>
    <t>GCP-07</t>
  </si>
  <si>
    <t>Cloud SQL for PostgreSQL</t>
  </si>
  <si>
    <t>db-f1-micro (Shared Core vCPU, 0.6 GiB RAM)</t>
  </si>
  <si>
    <t>$0.0105 por hora (instância leve para microcargas)</t>
  </si>
  <si>
    <t>GCP-08</t>
  </si>
  <si>
    <t>Cloud SQL SSD Storage</t>
  </si>
  <si>
    <t>20 GB SSD Storage + Backups Automáticos</t>
  </si>
  <si>
    <t>20GB SSD ($3.40) + 20GB Backup Retention ($1.60)</t>
  </si>
  <si>
    <t>Cloud Logging &amp; Cloud Monitoring</t>
  </si>
  <si>
    <t>GCP-09</t>
  </si>
  <si>
    <t>Cloud Logging &amp; Monitoring</t>
  </si>
  <si>
    <t>5 GB Logs + Métricas do GCE</t>
  </si>
  <si>
    <t>Até 50 GiB/mês inclusos no Always Free Tier da GCP</t>
  </si>
  <si>
    <t>GCP-10</t>
  </si>
  <si>
    <t>Compute Engine + PD</t>
  </si>
  <si>
    <t>Segunda e2-micro (2 vCPU, 1GB RAM) + 30GB PD</t>
  </si>
  <si>
    <t>Segunda instância para failover contínuo (+ $9.11/mês)</t>
  </si>
  <si>
    <t>GCP-11</t>
  </si>
  <si>
    <t>PostgreSQL Self-Hosted no GCE</t>
  </si>
  <si>
    <t>Compute Engine Co-located</t>
  </si>
  <si>
    <t>PostgreSQL instalado diretamente na GCE e2-micro</t>
  </si>
  <si>
    <t>Economia de $12.67/mês ao eliminar o Cloud SQL</t>
  </si>
  <si>
    <t>EVIDÊNCIAS E COMPROVANTES VISUAIS DAS SIMULAÇÕES EM NUVEM</t>
  </si>
  <si>
    <t>Artefatos visuais e prints de auditoria gerados para a simulação dos três provedores | Projeto Soufer Tools</t>
  </si>
  <si>
    <t>Dashboard Executivo Comparativo</t>
  </si>
  <si>
    <t>Simulação AWS Pricing Calculator (EC2 + RDS + S3 + CloudFront)</t>
  </si>
  <si>
    <t>Simulação Microsoft Azure Pricing Calculator (VM + DB + Blob + CDN)</t>
  </si>
  <si>
    <t>Simulação Google Cloud Pricing Calculator (GCE + Cloud SQL + GCS + CDN)</t>
  </si>
  <si>
    <t>Guilherme Portilho</t>
  </si>
  <si>
    <t>.                                                              Custo Total Mensal</t>
  </si>
  <si>
    <t>.                                                              Complexidade Banco Gerenciado</t>
  </si>
  <si>
    <t>.                                                              Viabilidade Self-Hosted</t>
  </si>
  <si>
    <t>.                                                              Plano B / Standby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</si>
</sst>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R\$\ #,##0.00"/>
    <numFmt numFmtId="166" formatCode="0.0%"/>
  </numFmts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CBD5E1"/>
      <name val="Segoe UI"/>
    </font>
    <font>
      <b/>
      <sz val="10"/>
      <color rgb="FF0F172A"/>
      <name val="Segoe UI"/>
    </font>
    <font>
      <sz val="10"/>
      <color rgb="FF1E293B"/>
      <name val="Segoe UI"/>
    </font>
    <font>
      <i/>
      <sz val="8"/>
      <color rgb="FF475569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sz val="9"/>
      <color rgb="FF64748B"/>
      <name val="Segoe UI"/>
    </font>
    <font>
      <b/>
      <sz val="10"/>
      <color rgb="FF34D399"/>
      <name val="Segoe UI"/>
    </font>
    <font>
      <b/>
      <sz val="9"/>
      <color rgb="FF059669"/>
      <name val="Segoe UI"/>
    </font>
    <font>
      <b/>
      <sz val="9"/>
      <color rgb="FF34D399"/>
      <name val="Segoe UI"/>
    </font>
    <font>
      <sz val="11"/>
      <color theme="0"/>
      <name val="Calibri"/>
      <family val="2"/>
      <scheme val="minor"/>
    </font>
    <font>
      <b/>
      <sz val="10"/>
      <color theme="0"/>
      <name val="Segoe UI"/>
      <family val="2"/>
    </font>
    <font>
      <b/>
      <sz val="10"/>
      <color rgb="FF1E293B"/>
      <name val="Segoe UI"/>
      <family val="2"/>
    </font>
    <font>
      <i/>
      <sz val="8"/>
      <color theme="0"/>
      <name val="Segoe UI"/>
      <family val="2"/>
    </font>
    <font>
      <sz val="9"/>
      <color theme="1"/>
      <name val="Segoe UI"/>
      <family val="2"/>
    </font>
    <font>
      <b/>
      <sz val="10"/>
      <color rgb="FF0F172A"/>
      <name val="Segoe UI"/>
      <family val="2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i/>
      <sz val="10"/>
      <color theme="0"/>
      <name val="Segoe UI"/>
      <family val="2"/>
    </font>
  </fonts>
  <fills count="27">
    <fill>
      <patternFill patternType="none"/>
    </fill>
    <fill>
      <patternFill patternType="gray125"/>
    </fill>
    <fill>
      <patternFill patternType="solid">
        <fgColor rgb="FF334155"/>
        <bgColor rgb="FF334155"/>
      </patternFill>
    </fill>
    <fill>
      <patternFill patternType="solid">
        <fgColor rgb="FFECFDF5"/>
        <bgColor rgb="FFECFDF5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0F172A"/>
        <bgColor rgb="FF0F172A"/>
      </patternFill>
    </fill>
    <fill>
      <patternFill patternType="solid">
        <fgColor rgb="FFFF9900"/>
        <bgColor rgb="FFFF9900"/>
      </patternFill>
    </fill>
    <fill>
      <patternFill patternType="solid">
        <fgColor rgb="FF0078D4"/>
        <bgColor rgb="FF0078D4"/>
      </patternFill>
    </fill>
    <fill>
      <patternFill patternType="solid">
        <fgColor rgb="FF4285F4"/>
        <bgColor rgb="FF4285F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CFDF5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ECFDF5"/>
      </patternFill>
    </fill>
    <fill>
      <patternFill patternType="solid">
        <fgColor theme="0"/>
        <bgColor rgb="FFF1F5F9"/>
      </patternFill>
    </fill>
    <fill>
      <patternFill patternType="solid">
        <fgColor theme="0"/>
        <bgColor rgb="FFFEF3C7"/>
      </patternFill>
    </fill>
    <fill>
      <patternFill patternType="solid">
        <fgColor theme="1"/>
        <bgColor rgb="FF1E293B"/>
      </patternFill>
    </fill>
    <fill>
      <patternFill patternType="solid">
        <fgColor theme="1" tint="0.249977111117893"/>
        <bgColor rgb="FF33415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rgb="FF334155"/>
      </patternFill>
    </fill>
    <fill>
      <patternFill patternType="solid">
        <fgColor theme="1" tint="0.249977111117893"/>
        <bgColor rgb="FF1E293B"/>
      </patternFill>
    </fill>
    <fill>
      <patternFill patternType="solid">
        <fgColor theme="1"/>
        <bgColor rgb="FF0F172A"/>
      </patternFill>
    </fill>
    <fill>
      <patternFill patternType="solid">
        <fgColor theme="1"/>
        <bgColor rgb="FFFF9900"/>
      </patternFill>
    </fill>
    <fill>
      <patternFill patternType="solid">
        <fgColor theme="0"/>
        <bgColor rgb="FF0F172A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334155"/>
      </left>
      <right style="thin">
        <color rgb="FF334155"/>
      </right>
      <top/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 style="thin">
        <color indexed="64"/>
      </right>
      <top style="thin">
        <color rgb="FFCBD5E1"/>
      </top>
      <bottom style="thin">
        <color indexed="64"/>
      </bottom>
      <diagonal/>
    </border>
    <border>
      <left style="thin">
        <color rgb="FFCBD5E1"/>
      </left>
      <right/>
      <top style="thin">
        <color rgb="FFCBD5E1"/>
      </top>
      <bottom style="thin">
        <color indexed="64"/>
      </bottom>
      <diagonal/>
    </border>
    <border>
      <left/>
      <right style="thin">
        <color indexed="64"/>
      </right>
      <top style="thin">
        <color rgb="FFCBD5E1"/>
      </top>
      <bottom style="thin">
        <color indexed="64"/>
      </bottom>
      <diagonal/>
    </border>
    <border>
      <left style="thin">
        <color indexed="64"/>
      </left>
      <right/>
      <top style="thin">
        <color rgb="FFCBD5E1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6" borderId="1" xfId="0" applyFont="1" applyFill="1" applyBorder="1"/>
    <xf numFmtId="0" fontId="3" fillId="7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8" fillId="5" borderId="1" xfId="0" applyFont="1" applyFill="1" applyBorder="1"/>
    <xf numFmtId="0" fontId="3" fillId="3" borderId="1" xfId="0" applyFont="1" applyFill="1" applyBorder="1"/>
    <xf numFmtId="0" fontId="8" fillId="3" borderId="1" xfId="0" applyFont="1" applyFill="1" applyBorder="1"/>
    <xf numFmtId="0" fontId="3" fillId="6" borderId="2" xfId="0" applyFont="1" applyFill="1" applyBorder="1"/>
    <xf numFmtId="165" fontId="4" fillId="6" borderId="2" xfId="0" applyNumberFormat="1" applyFont="1" applyFill="1" applyBorder="1" applyAlignment="1">
      <alignment horizontal="right" vertical="center"/>
    </xf>
    <xf numFmtId="164" fontId="3" fillId="6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/>
    <xf numFmtId="165" fontId="4" fillId="7" borderId="2" xfId="0" applyNumberFormat="1" applyFont="1" applyFill="1" applyBorder="1" applyAlignment="1">
      <alignment horizontal="right" vertical="center"/>
    </xf>
    <xf numFmtId="164" fontId="3" fillId="7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/>
    <xf numFmtId="0" fontId="8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right" vertical="center"/>
    </xf>
    <xf numFmtId="165" fontId="3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166" fontId="3" fillId="7" borderId="2" xfId="0" applyNumberFormat="1" applyFont="1" applyFill="1" applyBorder="1" applyAlignment="1">
      <alignment horizontal="center" vertical="center" wrapText="1"/>
    </xf>
    <xf numFmtId="166" fontId="3" fillId="6" borderId="2" xfId="0" applyNumberFormat="1" applyFont="1" applyFill="1" applyBorder="1" applyAlignment="1">
      <alignment horizontal="center" vertical="center" wrapText="1"/>
    </xf>
    <xf numFmtId="0" fontId="0" fillId="12" borderId="0" xfId="0" applyFill="1"/>
    <xf numFmtId="0" fontId="13" fillId="14" borderId="0" xfId="0" applyFont="1" applyFill="1"/>
    <xf numFmtId="0" fontId="13" fillId="14" borderId="0" xfId="0" applyFont="1" applyFill="1" applyAlignment="1">
      <alignment horizontal="left" vertical="center"/>
    </xf>
    <xf numFmtId="0" fontId="14" fillId="15" borderId="0" xfId="0" applyFont="1" applyFill="1"/>
    <xf numFmtId="0" fontId="5" fillId="13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 wrapText="1"/>
    </xf>
    <xf numFmtId="0" fontId="7" fillId="23" borderId="3" xfId="0" applyFont="1" applyFill="1" applyBorder="1" applyAlignment="1">
      <alignment horizontal="center" vertical="center" wrapText="1"/>
    </xf>
    <xf numFmtId="0" fontId="6" fillId="24" borderId="4" xfId="0" applyFont="1" applyFill="1" applyBorder="1"/>
    <xf numFmtId="0" fontId="6" fillId="24" borderId="4" xfId="0" applyFont="1" applyFill="1" applyBorder="1" applyAlignment="1">
      <alignment horizontal="center" vertical="center" wrapText="1"/>
    </xf>
    <xf numFmtId="164" fontId="6" fillId="24" borderId="4" xfId="0" applyNumberFormat="1" applyFont="1" applyFill="1" applyBorder="1" applyAlignment="1">
      <alignment horizontal="right" vertical="center"/>
    </xf>
    <xf numFmtId="165" fontId="6" fillId="24" borderId="4" xfId="0" applyNumberFormat="1" applyFont="1" applyFill="1" applyBorder="1" applyAlignment="1">
      <alignment horizontal="right" vertical="center"/>
    </xf>
    <xf numFmtId="0" fontId="9" fillId="24" borderId="4" xfId="0" applyFont="1" applyFill="1" applyBorder="1" applyAlignment="1">
      <alignment horizontal="center" vertical="center" wrapText="1"/>
    </xf>
    <xf numFmtId="0" fontId="16" fillId="6" borderId="2" xfId="0" applyFont="1" applyFill="1" applyBorder="1"/>
    <xf numFmtId="0" fontId="16" fillId="7" borderId="2" xfId="0" applyFont="1" applyFill="1" applyBorder="1"/>
    <xf numFmtId="0" fontId="7" fillId="23" borderId="6" xfId="0" applyFont="1" applyFill="1" applyBorder="1" applyAlignment="1">
      <alignment horizontal="center" vertical="center" wrapText="1"/>
    </xf>
    <xf numFmtId="0" fontId="18" fillId="23" borderId="3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164" fontId="19" fillId="6" borderId="2" xfId="0" applyNumberFormat="1" applyFont="1" applyFill="1" applyBorder="1" applyAlignment="1">
      <alignment horizontal="right" vertical="center"/>
    </xf>
    <xf numFmtId="165" fontId="19" fillId="6" borderId="2" xfId="0" applyNumberFormat="1" applyFont="1" applyFill="1" applyBorder="1" applyAlignment="1">
      <alignment horizontal="right" vertical="center"/>
    </xf>
    <xf numFmtId="0" fontId="16" fillId="7" borderId="2" xfId="0" applyFont="1" applyFill="1" applyBorder="1" applyAlignment="1">
      <alignment horizontal="center" vertical="center" wrapText="1"/>
    </xf>
    <xf numFmtId="164" fontId="19" fillId="7" borderId="2" xfId="0" applyNumberFormat="1" applyFont="1" applyFill="1" applyBorder="1" applyAlignment="1">
      <alignment horizontal="right" vertical="center"/>
    </xf>
    <xf numFmtId="165" fontId="19" fillId="7" borderId="2" xfId="0" applyNumberFormat="1" applyFont="1" applyFill="1" applyBorder="1" applyAlignment="1">
      <alignment horizontal="right" vertical="center"/>
    </xf>
    <xf numFmtId="0" fontId="16" fillId="6" borderId="1" xfId="0" applyFont="1" applyFill="1" applyBorder="1"/>
    <xf numFmtId="0" fontId="16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/>
    <xf numFmtId="0" fontId="16" fillId="7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164" fontId="20" fillId="4" borderId="1" xfId="0" applyNumberFormat="1" applyFont="1" applyFill="1" applyBorder="1" applyAlignment="1">
      <alignment horizontal="right" vertical="center"/>
    </xf>
    <xf numFmtId="165" fontId="20" fillId="4" borderId="1" xfId="0" applyNumberFormat="1" applyFont="1" applyFill="1" applyBorder="1" applyAlignment="1">
      <alignment horizontal="right" vertical="center"/>
    </xf>
    <xf numFmtId="0" fontId="16" fillId="4" borderId="1" xfId="0" applyFont="1" applyFill="1" applyBorder="1"/>
    <xf numFmtId="0" fontId="19" fillId="6" borderId="1" xfId="0" applyFont="1" applyFill="1" applyBorder="1"/>
    <xf numFmtId="164" fontId="19" fillId="6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0" fontId="19" fillId="7" borderId="1" xfId="0" applyFont="1" applyFill="1" applyBorder="1"/>
    <xf numFmtId="164" fontId="19" fillId="7" borderId="1" xfId="0" applyNumberFormat="1" applyFont="1" applyFill="1" applyBorder="1" applyAlignment="1">
      <alignment horizontal="right" vertical="center"/>
    </xf>
    <xf numFmtId="165" fontId="19" fillId="7" borderId="1" xfId="0" applyNumberFormat="1" applyFont="1" applyFill="1" applyBorder="1" applyAlignment="1">
      <alignment horizontal="right" vertical="center"/>
    </xf>
    <xf numFmtId="0" fontId="7" fillId="19" borderId="1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left" vertical="center" wrapText="1"/>
    </xf>
    <xf numFmtId="164" fontId="6" fillId="8" borderId="10" xfId="0" applyNumberFormat="1" applyFont="1" applyFill="1" applyBorder="1" applyAlignment="1">
      <alignment horizontal="center" vertical="center"/>
    </xf>
    <xf numFmtId="165" fontId="6" fillId="8" borderId="10" xfId="0" applyNumberFormat="1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/>
    <xf numFmtId="0" fontId="16" fillId="3" borderId="1" xfId="0" applyFont="1" applyFill="1" applyBorder="1"/>
    <xf numFmtId="0" fontId="16" fillId="3" borderId="1" xfId="0" applyFont="1" applyFill="1" applyBorder="1" applyAlignment="1">
      <alignment horizontal="center" vertical="center" wrapText="1"/>
    </xf>
    <xf numFmtId="0" fontId="19" fillId="5" borderId="1" xfId="0" applyFont="1" applyFill="1" applyBorder="1"/>
    <xf numFmtId="0" fontId="16" fillId="5" borderId="1" xfId="0" applyFont="1" applyFill="1" applyBorder="1"/>
    <xf numFmtId="0" fontId="16" fillId="5" borderId="1" xfId="0" applyFont="1" applyFill="1" applyBorder="1" applyAlignment="1">
      <alignment horizontal="center" vertical="center" wrapText="1"/>
    </xf>
    <xf numFmtId="0" fontId="16" fillId="18" borderId="0" xfId="0" applyFont="1" applyFill="1" applyAlignment="1">
      <alignment horizontal="center" vertical="center" wrapText="1"/>
    </xf>
    <xf numFmtId="0" fontId="3" fillId="18" borderId="0" xfId="0" applyFont="1" applyFill="1"/>
    <xf numFmtId="0" fontId="19" fillId="18" borderId="0" xfId="0" applyFont="1" applyFill="1"/>
    <xf numFmtId="0" fontId="16" fillId="18" borderId="0" xfId="0" applyFont="1" applyFill="1"/>
    <xf numFmtId="164" fontId="3" fillId="18" borderId="0" xfId="0" applyNumberFormat="1" applyFont="1" applyFill="1" applyAlignment="1">
      <alignment horizontal="center" vertical="center"/>
    </xf>
    <xf numFmtId="165" fontId="3" fillId="18" borderId="0" xfId="0" applyNumberFormat="1" applyFont="1" applyFill="1" applyAlignment="1">
      <alignment horizontal="center" vertical="center"/>
    </xf>
    <xf numFmtId="0" fontId="8" fillId="18" borderId="0" xfId="0" applyFont="1" applyFill="1"/>
    <xf numFmtId="0" fontId="6" fillId="26" borderId="0" xfId="0" applyFont="1" applyFill="1" applyAlignment="1">
      <alignment horizontal="left" vertical="center" wrapText="1"/>
    </xf>
    <xf numFmtId="0" fontId="6" fillId="26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164" fontId="6" fillId="26" borderId="0" xfId="0" applyNumberFormat="1" applyFont="1" applyFill="1" applyAlignment="1">
      <alignment horizontal="center" vertical="center"/>
    </xf>
    <xf numFmtId="165" fontId="6" fillId="26" borderId="0" xfId="0" applyNumberFormat="1" applyFont="1" applyFill="1" applyAlignment="1">
      <alignment horizontal="center" vertical="center"/>
    </xf>
    <xf numFmtId="0" fontId="11" fillId="26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" fillId="19" borderId="0" xfId="0" applyFont="1" applyFill="1" applyAlignment="1">
      <alignment horizontal="left" vertical="center" indent="1"/>
    </xf>
    <xf numFmtId="0" fontId="0" fillId="14" borderId="0" xfId="0" applyFill="1"/>
    <xf numFmtId="0" fontId="0" fillId="0" borderId="11" xfId="0" applyBorder="1" applyAlignment="1">
      <alignment horizontal="center"/>
    </xf>
    <xf numFmtId="0" fontId="7" fillId="9" borderId="0" xfId="0" applyFont="1" applyFill="1" applyAlignment="1">
      <alignment horizontal="left" vertical="center" indent="1"/>
    </xf>
    <xf numFmtId="0" fontId="0" fillId="0" borderId="0" xfId="0"/>
    <xf numFmtId="0" fontId="7" fillId="10" borderId="0" xfId="0" applyFont="1" applyFill="1" applyAlignment="1">
      <alignment horizontal="left" vertical="center" indent="1"/>
    </xf>
    <xf numFmtId="0" fontId="7" fillId="11" borderId="0" xfId="0" applyFont="1" applyFill="1" applyAlignment="1">
      <alignment horizontal="left" vertical="center" indent="1"/>
    </xf>
    <xf numFmtId="0" fontId="2" fillId="20" borderId="0" xfId="0" applyFont="1" applyFill="1" applyAlignment="1">
      <alignment horizontal="left" vertical="center" indent="1"/>
    </xf>
    <xf numFmtId="0" fontId="0" fillId="21" borderId="0" xfId="0" applyFill="1"/>
    <xf numFmtId="0" fontId="7" fillId="2" borderId="11" xfId="0" applyFont="1" applyFill="1" applyBorder="1" applyAlignment="1">
      <alignment horizontal="left" vertical="center" indent="1"/>
    </xf>
    <xf numFmtId="0" fontId="16" fillId="6" borderId="2" xfId="0" applyFont="1" applyFill="1" applyBorder="1"/>
    <xf numFmtId="0" fontId="0" fillId="0" borderId="2" xfId="0" applyBorder="1"/>
    <xf numFmtId="0" fontId="10" fillId="6" borderId="2" xfId="0" applyFont="1" applyFill="1" applyBorder="1"/>
    <xf numFmtId="0" fontId="17" fillId="6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17" fillId="7" borderId="2" xfId="0" applyFont="1" applyFill="1" applyBorder="1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13" fillId="17" borderId="0" xfId="0" applyFont="1" applyFill="1" applyAlignment="1">
      <alignment horizontal="center" vertical="center" wrapText="1"/>
    </xf>
    <xf numFmtId="0" fontId="13" fillId="14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2" fontId="3" fillId="16" borderId="5" xfId="0" applyNumberFormat="1" applyFont="1" applyFill="1" applyBorder="1" applyAlignment="1">
      <alignment horizontal="center" vertical="center" wrapText="1"/>
    </xf>
    <xf numFmtId="2" fontId="3" fillId="16" borderId="0" xfId="0" applyNumberFormat="1" applyFont="1" applyFill="1" applyAlignment="1">
      <alignment horizontal="center" vertical="center" wrapText="1"/>
    </xf>
    <xf numFmtId="0" fontId="12" fillId="12" borderId="0" xfId="0" applyFont="1" applyFill="1"/>
    <xf numFmtId="0" fontId="15" fillId="17" borderId="0" xfId="0" applyFont="1" applyFill="1" applyAlignment="1">
      <alignment horizontal="center" vertical="center" wrapText="1"/>
    </xf>
    <xf numFmtId="0" fontId="16" fillId="7" borderId="2" xfId="0" applyFont="1" applyFill="1" applyBorder="1"/>
    <xf numFmtId="0" fontId="6" fillId="22" borderId="0" xfId="0" applyFont="1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7" fillId="23" borderId="9" xfId="0" applyFont="1" applyFill="1" applyBorder="1" applyAlignment="1">
      <alignment horizontal="center" vertical="center" wrapText="1"/>
    </xf>
    <xf numFmtId="0" fontId="7" fillId="23" borderId="8" xfId="0" applyFont="1" applyFill="1" applyBorder="1" applyAlignment="1">
      <alignment horizontal="center" vertical="center" wrapText="1"/>
    </xf>
    <xf numFmtId="0" fontId="10" fillId="7" borderId="2" xfId="0" applyFont="1" applyFill="1" applyBorder="1"/>
    <xf numFmtId="0" fontId="7" fillId="23" borderId="7" xfId="0" applyFont="1" applyFill="1" applyBorder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15" fillId="18" borderId="0" xfId="0" applyFont="1" applyFill="1" applyAlignment="1">
      <alignment horizontal="center" vertical="center" wrapText="1"/>
    </xf>
    <xf numFmtId="0" fontId="7" fillId="20" borderId="0" xfId="0" applyFont="1" applyFill="1" applyAlignment="1">
      <alignment horizontal="left" vertical="center" indent="1"/>
    </xf>
    <xf numFmtId="0" fontId="1" fillId="25" borderId="0" xfId="0" applyFont="1" applyFill="1" applyAlignment="1">
      <alignment horizontal="left" vertical="center" indent="1"/>
    </xf>
    <xf numFmtId="0" fontId="6" fillId="8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1" fillId="20" borderId="0" xfId="0" applyFont="1" applyFill="1" applyAlignment="1">
      <alignment horizontal="left" vertical="center" indent="1"/>
    </xf>
    <xf numFmtId="0" fontId="12" fillId="2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1466850</xdr:colOff>
      <xdr:row>6</xdr:row>
      <xdr:rowOff>47625</xdr:rowOff>
    </xdr:from>
    <xdr:to>
      <xdr:col>1</xdr:col>
      <xdr:colOff>876300</xdr:colOff>
      <xdr:row>8</xdr:row>
      <xdr:rowOff>219075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AE4EFB2-117F-0994-6E57-76675B9EAE2C}"/>
            </a:ext>
          </a:extLst>
        </xdr:cNvPr>
        <xdr:cNvSpPr txBox="1"/>
      </xdr:nvSpPr>
      <xdr:spPr>
        <a:xfrm>
          <a:off x="1466850" y="1190625"/>
          <a:ext cx="2352675" cy="7810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2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MENOR CUSTO BASE (DBaaS)</a:t>
          </a:r>
          <a:b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AWS ($29.51 /mês)</a:t>
          </a:r>
        </a:p>
        <a:p>
          <a:pPr algn="ctr"/>
          <a:endParaRPr lang="pt-BR">
            <a:effectLst/>
          </a:endParaRPr>
        </a:p>
        <a:p>
          <a:pPr algn="ctr"/>
          <a:r>
            <a:rPr lang="pt-B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R$ 162.31 /mês (Vence no CDN)</a:t>
          </a:r>
          <a:r>
            <a:rPr lang="pt-BR">
              <a:effectLst/>
            </a:rPr>
            <a:t> </a:t>
          </a:r>
        </a:p>
      </xdr:txBody>
    </xdr:sp>
    <xdr:clientData/>
  </xdr:twoCellAnchor>
  <xdr:twoCellAnchor>
    <xdr:from>
      <xdr:col>1</xdr:col>
      <xdr:colOff>2454275</xdr:colOff>
      <xdr:row>6</xdr:row>
      <xdr:rowOff>47625</xdr:rowOff>
    </xdr:from>
    <xdr:to>
      <xdr:col>3</xdr:col>
      <xdr:colOff>844550</xdr:colOff>
      <xdr:row>8</xdr:row>
      <xdr:rowOff>219075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CF46CED-AF55-42ED-8894-4F4D79C573FC}"/>
            </a:ext>
          </a:extLst>
        </xdr:cNvPr>
        <xdr:cNvSpPr txBox="1"/>
      </xdr:nvSpPr>
      <xdr:spPr>
        <a:xfrm>
          <a:off x="5397500" y="1190625"/>
          <a:ext cx="2352675" cy="7810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MENOR CUSTO ECONÔMICO</a:t>
          </a:r>
          <a:b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AWS ($14.07 /mês)</a:t>
          </a:r>
        </a:p>
        <a:p>
          <a:pPr algn="ctr"/>
          <a:endParaRPr lang="pt-BR">
            <a:effectLst/>
          </a:endParaRPr>
        </a:p>
        <a:p>
          <a:pPr algn="ctr"/>
          <a:r>
            <a:rPr lang="pt-B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R$ 77.39 /mês (Self-Hosted)</a:t>
          </a:r>
          <a:r>
            <a:rPr lang="pt-BR">
              <a:effectLst/>
            </a:rPr>
            <a:t> </a:t>
          </a:r>
        </a:p>
      </xdr:txBody>
    </xdr:sp>
    <xdr:clientData/>
  </xdr:twoCellAnchor>
  <xdr:twoCellAnchor>
    <xdr:from>
      <xdr:col>6</xdr:col>
      <xdr:colOff>0</xdr:colOff>
      <xdr:row>6</xdr:row>
      <xdr:rowOff>47625</xdr:rowOff>
    </xdr:from>
    <xdr:to>
      <xdr:col>7</xdr:col>
      <xdr:colOff>781050</xdr:colOff>
      <xdr:row>8</xdr:row>
      <xdr:rowOff>219075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1EC530B-B7E0-47DC-8275-78043B428D15}"/>
            </a:ext>
          </a:extLst>
        </xdr:cNvPr>
        <xdr:cNvSpPr txBox="1"/>
      </xdr:nvSpPr>
      <xdr:spPr>
        <a:xfrm>
          <a:off x="13258800" y="1190625"/>
          <a:ext cx="2352675" cy="7810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6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ALTA DISPONIBILIDADE (Plano B)</a:t>
          </a:r>
          <a:b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+$9.11 a +$9.99 /mês</a:t>
          </a:r>
        </a:p>
        <a:p>
          <a:pPr algn="ctr"/>
          <a:endParaRPr lang="pt-BR">
            <a:effectLst/>
          </a:endParaRPr>
        </a:p>
        <a:p>
          <a:pPr algn="ctr"/>
          <a:r>
            <a:rPr lang="pt-B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2ª Instância VM em Standby</a:t>
          </a:r>
          <a:endParaRPr lang="pt-BR">
            <a:effectLst/>
          </a:endParaRPr>
        </a:p>
      </xdr:txBody>
    </xdr:sp>
    <xdr:clientData/>
  </xdr:twoCellAnchor>
  <xdr:twoCellAnchor>
    <xdr:from>
      <xdr:col>3</xdr:col>
      <xdr:colOff>2422525</xdr:colOff>
      <xdr:row>6</xdr:row>
      <xdr:rowOff>47625</xdr:rowOff>
    </xdr:from>
    <xdr:to>
      <xdr:col>5</xdr:col>
      <xdr:colOff>155575</xdr:colOff>
      <xdr:row>8</xdr:row>
      <xdr:rowOff>219075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CC37189-E813-536A-349B-E47A4B81A0DD}"/>
            </a:ext>
          </a:extLst>
        </xdr:cNvPr>
        <xdr:cNvSpPr txBox="1"/>
      </xdr:nvSpPr>
      <xdr:spPr>
        <a:xfrm>
          <a:off x="9328150" y="1190625"/>
          <a:ext cx="2352675" cy="7810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accent4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 MÉDIO MENSAL</a:t>
          </a:r>
          <a:b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$32.85 /mês</a:t>
          </a:r>
        </a:p>
        <a:p>
          <a:pPr algn="ctr"/>
          <a:endParaRPr lang="pt-BR">
            <a:effectLst/>
          </a:endParaRPr>
        </a:p>
        <a:p>
          <a:pPr algn="ctr"/>
          <a:r>
            <a:rPr lang="pt-B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R$ 180.66 /mês (Média 3 Provedores)</a:t>
          </a:r>
          <a:r>
            <a:rPr lang="pt-BR">
              <a:effectLst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29934</xdr:colOff>
      <xdr:row>29</xdr:row>
      <xdr:rowOff>25854</xdr:rowOff>
    </xdr:from>
    <xdr:to>
      <xdr:col>7</xdr:col>
      <xdr:colOff>1686434</xdr:colOff>
      <xdr:row>51</xdr:row>
      <xdr:rowOff>168461</xdr:rowOff>
    </xdr:to>
    <xdr:pic>
      <xdr:nvPicPr>
        <xdr:cNvPr id="2" name="Imagem 1" descr="Picture">
          <a:extLst>
            <a:ext uri="{FF2B5EF4-FFF2-40B4-BE49-F238E27FC236}">
              <a16:creationId xmlns:a16="http://schemas.microsoft.com/office/drawing/2014/main" id="{99081A0A-C98D-0D06-CFC1-9069969E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7934" y="5531304"/>
          <a:ext cx="6800000" cy="4314557"/>
        </a:xfrm>
        <a:prstGeom prst="rect">
          <a:avLst/>
        </a:prstGeom>
      </xdr:spPr>
    </xdr:pic>
    <xdr:clientData/>
  </xdr:twoCellAnchor>
  <xdr:twoCellAnchor editAs="oneCell">
    <xdr:from>
      <xdr:col>0</xdr:col>
      <xdr:colOff>31296</xdr:colOff>
      <xdr:row>29</xdr:row>
      <xdr:rowOff>31296</xdr:rowOff>
    </xdr:from>
    <xdr:to>
      <xdr:col>3</xdr:col>
      <xdr:colOff>1687796</xdr:colOff>
      <xdr:row>51</xdr:row>
      <xdr:rowOff>173903</xdr:rowOff>
    </xdr:to>
    <xdr:pic>
      <xdr:nvPicPr>
        <xdr:cNvPr id="3" name="Imagem 2" descr="Picture">
          <a:extLst>
            <a:ext uri="{FF2B5EF4-FFF2-40B4-BE49-F238E27FC236}">
              <a16:creationId xmlns:a16="http://schemas.microsoft.com/office/drawing/2014/main" id="{94943CC0-C8B2-81C4-3950-8B7AEE01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96" y="5536746"/>
          <a:ext cx="6800000" cy="4314557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</xdr:row>
      <xdr:rowOff>28575</xdr:rowOff>
    </xdr:from>
    <xdr:to>
      <xdr:col>7</xdr:col>
      <xdr:colOff>1685075</xdr:colOff>
      <xdr:row>26</xdr:row>
      <xdr:rowOff>171182</xdr:rowOff>
    </xdr:to>
    <xdr:pic>
      <xdr:nvPicPr>
        <xdr:cNvPr id="4" name="Imagem 3" descr="Picture">
          <a:extLst>
            <a:ext uri="{FF2B5EF4-FFF2-40B4-BE49-F238E27FC236}">
              <a16:creationId xmlns:a16="http://schemas.microsoft.com/office/drawing/2014/main" id="{F6886283-FD01-CAB9-DD30-E2EA0E818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86575" y="790575"/>
          <a:ext cx="6800000" cy="4314557"/>
        </a:xfrm>
        <a:prstGeom prst="rect">
          <a:avLst/>
        </a:prstGeom>
      </xdr:spPr>
    </xdr:pic>
    <xdr:clientData/>
  </xdr:twoCellAnchor>
  <xdr:twoCellAnchor editAs="oneCell">
    <xdr:from>
      <xdr:col>0</xdr:col>
      <xdr:colOff>31296</xdr:colOff>
      <xdr:row>4</xdr:row>
      <xdr:rowOff>28575</xdr:rowOff>
    </xdr:from>
    <xdr:to>
      <xdr:col>3</xdr:col>
      <xdr:colOff>1687796</xdr:colOff>
      <xdr:row>26</xdr:row>
      <xdr:rowOff>171182</xdr:rowOff>
    </xdr:to>
    <xdr:pic>
      <xdr:nvPicPr>
        <xdr:cNvPr id="5" name="Imagem 4" descr="Picture">
          <a:extLst>
            <a:ext uri="{FF2B5EF4-FFF2-40B4-BE49-F238E27FC236}">
              <a16:creationId xmlns:a16="http://schemas.microsoft.com/office/drawing/2014/main" id="{BE031E0E-950F-665E-90B0-A72D57AA0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96" y="790575"/>
          <a:ext cx="6800000" cy="4314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opLeftCell="A4" workbookViewId="0">
      <selection activeCell="D42" sqref="D42"/>
    </sheetView>
  </sheetViews>
  <sheetFormatPr defaultRowHeight="15" x14ac:dyDescent="0.25"/>
  <cols>
    <col min="1" max="1" width="44.140625" bestFit="1" customWidth="1"/>
    <col min="2" max="2" width="45.42578125" bestFit="1" customWidth="1"/>
    <col min="3" max="3" width="14" customWidth="1"/>
    <col min="4" max="4" width="43.5703125" customWidth="1"/>
    <col min="5" max="5" width="25.7109375" customWidth="1"/>
    <col min="6" max="6" width="26" customWidth="1"/>
    <col min="7" max="7" width="23.5703125" customWidth="1"/>
    <col min="8" max="8" width="26.42578125" customWidth="1"/>
    <col min="9" max="9" width="14.28515625" bestFit="1" customWidth="1"/>
    <col min="10" max="10" width="35.7109375" customWidth="1"/>
  </cols>
  <sheetData>
    <row r="1" spans="1:10" x14ac:dyDescent="0.25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A3" s="93" t="s">
        <v>1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3" t="s">
        <v>2</v>
      </c>
      <c r="B5" s="106">
        <v>5.5</v>
      </c>
      <c r="C5" s="107"/>
      <c r="D5" s="22" t="s">
        <v>3</v>
      </c>
      <c r="E5" s="24" t="s">
        <v>4</v>
      </c>
      <c r="F5" s="104" t="s">
        <v>5</v>
      </c>
      <c r="G5" s="104"/>
      <c r="H5" s="105" t="s">
        <v>285</v>
      </c>
      <c r="I5" s="105"/>
      <c r="J5" s="21"/>
    </row>
    <row r="6" spans="1:10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24" customHeight="1" x14ac:dyDescent="0.25">
      <c r="A7" s="21"/>
      <c r="B7" s="102"/>
      <c r="C7" s="21"/>
      <c r="D7" s="103"/>
      <c r="E7" s="21"/>
      <c r="F7" s="103"/>
      <c r="G7" s="108"/>
      <c r="H7" s="117"/>
      <c r="I7" s="108"/>
      <c r="J7" s="21"/>
    </row>
    <row r="8" spans="1:10" ht="24" customHeight="1" x14ac:dyDescent="0.25">
      <c r="A8" s="21"/>
      <c r="B8" s="102"/>
      <c r="C8" s="21"/>
      <c r="D8" s="103"/>
      <c r="E8" s="21"/>
      <c r="F8" s="108"/>
      <c r="G8" s="108"/>
      <c r="H8" s="108"/>
      <c r="I8" s="108"/>
      <c r="J8" s="21"/>
    </row>
    <row r="9" spans="1:10" ht="24" customHeight="1" x14ac:dyDescent="0.25">
      <c r="A9" s="21"/>
      <c r="B9" s="25"/>
      <c r="C9" s="21"/>
      <c r="D9" s="26"/>
      <c r="E9" s="21"/>
      <c r="F9" s="109"/>
      <c r="G9" s="108"/>
      <c r="H9" s="118"/>
      <c r="I9" s="108"/>
      <c r="J9" s="21"/>
    </row>
    <row r="10" spans="1:10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16.5" x14ac:dyDescent="0.25">
      <c r="A11" s="111" t="s">
        <v>6</v>
      </c>
      <c r="B11" s="112"/>
      <c r="C11" s="112"/>
      <c r="D11" s="112"/>
      <c r="E11" s="112"/>
      <c r="F11" s="112"/>
      <c r="G11" s="112"/>
      <c r="H11" s="112"/>
      <c r="I11" s="112"/>
      <c r="J11" s="112"/>
    </row>
    <row r="12" spans="1:10" x14ac:dyDescent="0.25">
      <c r="A12" s="27" t="s">
        <v>7</v>
      </c>
      <c r="B12" s="27" t="s">
        <v>8</v>
      </c>
      <c r="C12" s="27" t="s">
        <v>9</v>
      </c>
      <c r="D12" s="27" t="s">
        <v>10</v>
      </c>
      <c r="E12" s="27" t="s">
        <v>11</v>
      </c>
      <c r="F12" s="27" t="s">
        <v>12</v>
      </c>
      <c r="G12" s="27" t="s">
        <v>13</v>
      </c>
      <c r="H12" s="27" t="s">
        <v>14</v>
      </c>
      <c r="I12" s="27" t="s">
        <v>15</v>
      </c>
      <c r="J12" s="35" t="s">
        <v>16</v>
      </c>
    </row>
    <row r="13" spans="1:10" x14ac:dyDescent="0.25">
      <c r="A13" s="8" t="s">
        <v>17</v>
      </c>
      <c r="B13" s="37" t="s">
        <v>18</v>
      </c>
      <c r="C13" s="38">
        <f>'AWS - Detalhamento'!G6</f>
        <v>9.99</v>
      </c>
      <c r="D13" s="39">
        <f t="shared" ref="D13:D18" si="0">C13*$B$5</f>
        <v>54.945</v>
      </c>
      <c r="E13" s="38">
        <f>'Azure - Detalhamento'!G6</f>
        <v>9.99</v>
      </c>
      <c r="F13" s="39">
        <f t="shared" ref="F13:F18" si="1">E13*$B$5</f>
        <v>54.945</v>
      </c>
      <c r="G13" s="38">
        <f>'GCP - Detalhamento'!G6</f>
        <v>9.11</v>
      </c>
      <c r="H13" s="39">
        <f t="shared" ref="H13:H18" si="2">G13*$B$5</f>
        <v>50.104999999999997</v>
      </c>
      <c r="I13" s="10">
        <f t="shared" ref="I13:I18" si="3">AVERAGE(C13,E13,G13)</f>
        <v>9.6966666666666672</v>
      </c>
      <c r="J13" s="37" t="s">
        <v>19</v>
      </c>
    </row>
    <row r="14" spans="1:10" x14ac:dyDescent="0.25">
      <c r="A14" s="11" t="s">
        <v>20</v>
      </c>
      <c r="B14" s="40" t="s">
        <v>21</v>
      </c>
      <c r="C14" s="41">
        <f>'AWS - Detalhamento'!G11</f>
        <v>0.05</v>
      </c>
      <c r="D14" s="42">
        <f t="shared" si="0"/>
        <v>0.27500000000000002</v>
      </c>
      <c r="E14" s="41">
        <f>'Azure - Detalhamento'!G11</f>
        <v>0.06</v>
      </c>
      <c r="F14" s="42">
        <f t="shared" si="1"/>
        <v>0.32999999999999996</v>
      </c>
      <c r="G14" s="41">
        <f>'GCP - Detalhamento'!G11</f>
        <v>0.04</v>
      </c>
      <c r="H14" s="42">
        <f t="shared" si="2"/>
        <v>0.22</v>
      </c>
      <c r="I14" s="13">
        <f t="shared" si="3"/>
        <v>4.9999999999999996E-2</v>
      </c>
      <c r="J14" s="40" t="s">
        <v>22</v>
      </c>
    </row>
    <row r="15" spans="1:10" x14ac:dyDescent="0.25">
      <c r="A15" s="8" t="s">
        <v>23</v>
      </c>
      <c r="B15" s="37" t="s">
        <v>24</v>
      </c>
      <c r="C15" s="38">
        <f>'AWS - Detalhamento'!G14</f>
        <v>1</v>
      </c>
      <c r="D15" s="39">
        <f t="shared" si="0"/>
        <v>5.5</v>
      </c>
      <c r="E15" s="38">
        <f>'Azure - Detalhamento'!G14</f>
        <v>0</v>
      </c>
      <c r="F15" s="39">
        <f t="shared" si="1"/>
        <v>0</v>
      </c>
      <c r="G15" s="38">
        <f>'GCP - Detalhamento'!G14</f>
        <v>2.5</v>
      </c>
      <c r="H15" s="39">
        <f t="shared" si="2"/>
        <v>13.75</v>
      </c>
      <c r="I15" s="10">
        <f t="shared" si="3"/>
        <v>1.1666666666666667</v>
      </c>
      <c r="J15" s="37" t="s">
        <v>25</v>
      </c>
    </row>
    <row r="16" spans="1:10" x14ac:dyDescent="0.25">
      <c r="A16" s="11" t="s">
        <v>26</v>
      </c>
      <c r="B16" s="40" t="s">
        <v>27</v>
      </c>
      <c r="C16" s="41">
        <f>'AWS - Detalhamento'!G19</f>
        <v>2.8</v>
      </c>
      <c r="D16" s="42">
        <f t="shared" si="0"/>
        <v>15.399999999999999</v>
      </c>
      <c r="E16" s="41">
        <f>'Azure - Detalhamento'!G19</f>
        <v>1.5</v>
      </c>
      <c r="F16" s="42">
        <f t="shared" si="1"/>
        <v>8.25</v>
      </c>
      <c r="G16" s="41">
        <f>'GCP - Detalhamento'!G19</f>
        <v>0</v>
      </c>
      <c r="H16" s="42">
        <f t="shared" si="2"/>
        <v>0</v>
      </c>
      <c r="I16" s="13">
        <f t="shared" si="3"/>
        <v>1.4333333333333333</v>
      </c>
      <c r="J16" s="40" t="s">
        <v>28</v>
      </c>
    </row>
    <row r="17" spans="1:10" x14ac:dyDescent="0.25">
      <c r="A17" s="8" t="s">
        <v>29</v>
      </c>
      <c r="B17" s="37" t="s">
        <v>30</v>
      </c>
      <c r="C17" s="38">
        <f>'AWS - Detalhamento'!G22</f>
        <v>0</v>
      </c>
      <c r="D17" s="39">
        <f t="shared" si="0"/>
        <v>0</v>
      </c>
      <c r="E17" s="38">
        <f>'Azure - Detalhamento'!G22</f>
        <v>0</v>
      </c>
      <c r="F17" s="39">
        <f t="shared" si="1"/>
        <v>0</v>
      </c>
      <c r="G17" s="38">
        <f>'GCP - Detalhamento'!G22</f>
        <v>0</v>
      </c>
      <c r="H17" s="39">
        <f t="shared" si="2"/>
        <v>0</v>
      </c>
      <c r="I17" s="10">
        <f t="shared" si="3"/>
        <v>0</v>
      </c>
      <c r="J17" s="37" t="s">
        <v>31</v>
      </c>
    </row>
    <row r="18" spans="1:10" ht="16.5" x14ac:dyDescent="0.3">
      <c r="A18" s="28" t="s">
        <v>32</v>
      </c>
      <c r="B18" s="29" t="s">
        <v>33</v>
      </c>
      <c r="C18" s="30">
        <f>SUM(C13:C17)</f>
        <v>13.84</v>
      </c>
      <c r="D18" s="31">
        <f t="shared" si="0"/>
        <v>76.12</v>
      </c>
      <c r="E18" s="30">
        <f>SUM(E13:E17)</f>
        <v>11.55</v>
      </c>
      <c r="F18" s="31">
        <f t="shared" si="1"/>
        <v>63.525000000000006</v>
      </c>
      <c r="G18" s="30">
        <f>SUM(G13:G17)</f>
        <v>11.649999999999999</v>
      </c>
      <c r="H18" s="31">
        <f t="shared" si="2"/>
        <v>64.074999999999989</v>
      </c>
      <c r="I18" s="30">
        <f t="shared" si="3"/>
        <v>12.346666666666666</v>
      </c>
      <c r="J18" s="32" t="s">
        <v>34</v>
      </c>
    </row>
    <row r="19" spans="1:10" x14ac:dyDescent="0.25">
      <c r="A19" s="14" t="s">
        <v>35</v>
      </c>
      <c r="B19" s="15" t="s">
        <v>36</v>
      </c>
      <c r="C19" s="16">
        <f t="shared" ref="C19:I19" si="4">C18*12</f>
        <v>166.07999999999998</v>
      </c>
      <c r="D19" s="17">
        <f t="shared" si="4"/>
        <v>913.44</v>
      </c>
      <c r="E19" s="16">
        <f t="shared" si="4"/>
        <v>138.60000000000002</v>
      </c>
      <c r="F19" s="17">
        <f t="shared" si="4"/>
        <v>762.30000000000007</v>
      </c>
      <c r="G19" s="16">
        <f t="shared" si="4"/>
        <v>139.79999999999998</v>
      </c>
      <c r="H19" s="17">
        <f t="shared" si="4"/>
        <v>768.89999999999986</v>
      </c>
      <c r="I19" s="16">
        <f t="shared" si="4"/>
        <v>148.16</v>
      </c>
      <c r="J19" s="18" t="s">
        <v>37</v>
      </c>
    </row>
    <row r="20" spans="1:10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 spans="1:10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 spans="1:10" ht="16.5" x14ac:dyDescent="0.25">
      <c r="A22" s="111" t="s">
        <v>38</v>
      </c>
      <c r="B22" s="112"/>
      <c r="C22" s="112"/>
      <c r="D22" s="112"/>
      <c r="E22" s="112"/>
      <c r="F22" s="112"/>
      <c r="G22" s="112"/>
      <c r="H22" s="112"/>
      <c r="I22" s="112"/>
      <c r="J22" s="112"/>
    </row>
    <row r="23" spans="1:10" ht="28.5" x14ac:dyDescent="0.25">
      <c r="A23" s="27" t="s">
        <v>39</v>
      </c>
      <c r="B23" s="27" t="s">
        <v>40</v>
      </c>
      <c r="C23" s="27" t="s">
        <v>9</v>
      </c>
      <c r="D23" s="27" t="s">
        <v>10</v>
      </c>
      <c r="E23" s="27" t="s">
        <v>11</v>
      </c>
      <c r="F23" s="27" t="s">
        <v>12</v>
      </c>
      <c r="G23" s="27" t="s">
        <v>13</v>
      </c>
      <c r="H23" s="27" t="s">
        <v>14</v>
      </c>
      <c r="I23" s="36" t="s">
        <v>41</v>
      </c>
      <c r="J23" s="35" t="s">
        <v>42</v>
      </c>
    </row>
    <row r="24" spans="1:10" x14ac:dyDescent="0.25">
      <c r="A24" s="11" t="s">
        <v>43</v>
      </c>
      <c r="B24" s="34" t="s">
        <v>44</v>
      </c>
      <c r="C24" s="13">
        <f t="shared" ref="C24:H24" si="5">C18</f>
        <v>13.84</v>
      </c>
      <c r="D24" s="12">
        <f t="shared" si="5"/>
        <v>76.12</v>
      </c>
      <c r="E24" s="13">
        <f t="shared" si="5"/>
        <v>11.55</v>
      </c>
      <c r="F24" s="12">
        <f t="shared" si="5"/>
        <v>63.525000000000006</v>
      </c>
      <c r="G24" s="13">
        <f t="shared" si="5"/>
        <v>11.649999999999999</v>
      </c>
      <c r="H24" s="12">
        <f t="shared" si="5"/>
        <v>64.074999999999989</v>
      </c>
      <c r="I24" s="19">
        <f>(E24-C24)/C24</f>
        <v>-0.16546242774566469</v>
      </c>
      <c r="J24" s="19">
        <f>(G24-C24)/C24</f>
        <v>-0.15823699421965326</v>
      </c>
    </row>
    <row r="25" spans="1:10" x14ac:dyDescent="0.25">
      <c r="A25" s="8" t="s">
        <v>45</v>
      </c>
      <c r="B25" s="33" t="s">
        <v>46</v>
      </c>
      <c r="C25" s="10">
        <f>'AWS - Detalhamento'!G29</f>
        <v>11.040000000000001</v>
      </c>
      <c r="D25" s="9">
        <f>C25*$B$5</f>
        <v>60.720000000000006</v>
      </c>
      <c r="E25" s="10">
        <f>'Azure - Detalhamento'!G29</f>
        <v>10.050000000000001</v>
      </c>
      <c r="F25" s="9">
        <f>E25*$B$5</f>
        <v>55.275000000000006</v>
      </c>
      <c r="G25" s="10">
        <f>'GCP - Detalhamento'!G29</f>
        <v>11.649999999999999</v>
      </c>
      <c r="H25" s="9">
        <f>G25*$B$5</f>
        <v>64.074999999999989</v>
      </c>
      <c r="I25" s="20">
        <f>(E25-C25)/C25</f>
        <v>-8.9673913043478271E-2</v>
      </c>
      <c r="J25" s="20">
        <f>(G25-C25)/C25</f>
        <v>5.5253623188405578E-2</v>
      </c>
    </row>
    <row r="26" spans="1:10" x14ac:dyDescent="0.25">
      <c r="A26" s="11" t="s">
        <v>47</v>
      </c>
      <c r="B26" s="34" t="s">
        <v>48</v>
      </c>
      <c r="C26" s="13">
        <f>'AWS - Detalhamento'!G26</f>
        <v>23.83</v>
      </c>
      <c r="D26" s="12">
        <f>C26*$B$5</f>
        <v>131.065</v>
      </c>
      <c r="E26" s="13">
        <f>'Azure - Detalhamento'!G26</f>
        <v>21.54</v>
      </c>
      <c r="F26" s="12">
        <f>E26*$B$5</f>
        <v>118.47</v>
      </c>
      <c r="G26" s="13">
        <f>'GCP - Detalhamento'!G26</f>
        <v>20.759999999999998</v>
      </c>
      <c r="H26" s="12">
        <f>G26*$B$5</f>
        <v>114.17999999999999</v>
      </c>
      <c r="I26" s="19">
        <f>(E26-C26)/C26</f>
        <v>-9.6097356273604675E-2</v>
      </c>
      <c r="J26" s="19">
        <f>(G26-C26)/C26</f>
        <v>-0.12882920688208144</v>
      </c>
    </row>
    <row r="27" spans="1:10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 ht="16.5" x14ac:dyDescent="0.25">
      <c r="A29" s="111" t="s">
        <v>49</v>
      </c>
      <c r="B29" s="112"/>
      <c r="C29" s="112"/>
      <c r="D29" s="112"/>
      <c r="E29" s="112"/>
      <c r="F29" s="112"/>
      <c r="G29" s="112"/>
      <c r="H29" s="112"/>
      <c r="I29" s="112"/>
      <c r="J29" s="112"/>
    </row>
    <row r="30" spans="1:10" ht="15" customHeight="1" x14ac:dyDescent="0.25">
      <c r="A30" s="116" t="s">
        <v>50</v>
      </c>
      <c r="B30" s="114"/>
      <c r="C30" s="113" t="s">
        <v>51</v>
      </c>
      <c r="D30" s="114"/>
      <c r="E30" s="113" t="s">
        <v>52</v>
      </c>
      <c r="F30" s="114"/>
      <c r="G30" s="113" t="s">
        <v>53</v>
      </c>
      <c r="H30" s="114"/>
      <c r="I30" s="113" t="s">
        <v>54</v>
      </c>
      <c r="J30" s="114"/>
    </row>
    <row r="31" spans="1:10" x14ac:dyDescent="0.25">
      <c r="A31" s="99" t="s">
        <v>286</v>
      </c>
      <c r="B31" s="100"/>
      <c r="C31" s="96" t="s">
        <v>55</v>
      </c>
      <c r="D31" s="97"/>
      <c r="E31" s="96" t="s">
        <v>56</v>
      </c>
      <c r="F31" s="97"/>
      <c r="G31" s="96" t="s">
        <v>57</v>
      </c>
      <c r="H31" s="97"/>
      <c r="I31" s="98" t="s">
        <v>58</v>
      </c>
      <c r="J31" s="97"/>
    </row>
    <row r="32" spans="1:10" x14ac:dyDescent="0.25">
      <c r="A32" s="101" t="s">
        <v>287</v>
      </c>
      <c r="B32" s="100"/>
      <c r="C32" s="110" t="s">
        <v>59</v>
      </c>
      <c r="D32" s="97"/>
      <c r="E32" s="110" t="s">
        <v>60</v>
      </c>
      <c r="F32" s="97"/>
      <c r="G32" s="110" t="s">
        <v>61</v>
      </c>
      <c r="H32" s="97"/>
      <c r="I32" s="115" t="s">
        <v>62</v>
      </c>
      <c r="J32" s="97"/>
    </row>
    <row r="33" spans="1:10" x14ac:dyDescent="0.25">
      <c r="A33" s="99" t="s">
        <v>288</v>
      </c>
      <c r="B33" s="100"/>
      <c r="C33" s="96" t="s">
        <v>63</v>
      </c>
      <c r="D33" s="97"/>
      <c r="E33" s="96" t="s">
        <v>64</v>
      </c>
      <c r="F33" s="97"/>
      <c r="G33" s="96" t="s">
        <v>65</v>
      </c>
      <c r="H33" s="97"/>
      <c r="I33" s="98" t="s">
        <v>66</v>
      </c>
      <c r="J33" s="97"/>
    </row>
    <row r="34" spans="1:10" x14ac:dyDescent="0.25">
      <c r="A34" s="101" t="s">
        <v>289</v>
      </c>
      <c r="B34" s="100"/>
      <c r="C34" s="110" t="s">
        <v>67</v>
      </c>
      <c r="D34" s="97"/>
      <c r="E34" s="110" t="s">
        <v>68</v>
      </c>
      <c r="F34" s="97"/>
      <c r="G34" s="110" t="s">
        <v>69</v>
      </c>
      <c r="H34" s="97"/>
      <c r="I34" s="115" t="s">
        <v>70</v>
      </c>
      <c r="J34" s="97"/>
    </row>
  </sheetData>
  <mergeCells count="39">
    <mergeCell ref="A1:J2"/>
    <mergeCell ref="C30:D30"/>
    <mergeCell ref="A22:J22"/>
    <mergeCell ref="C33:D33"/>
    <mergeCell ref="E33:F33"/>
    <mergeCell ref="H7:I8"/>
    <mergeCell ref="A29:J29"/>
    <mergeCell ref="H9:I9"/>
    <mergeCell ref="I32:J32"/>
    <mergeCell ref="C31:D31"/>
    <mergeCell ref="E31:F31"/>
    <mergeCell ref="C32:D32"/>
    <mergeCell ref="E32:F32"/>
    <mergeCell ref="G32:H32"/>
    <mergeCell ref="A11:J11"/>
    <mergeCell ref="E34:F34"/>
    <mergeCell ref="G34:H34"/>
    <mergeCell ref="E30:F30"/>
    <mergeCell ref="G30:H30"/>
    <mergeCell ref="I30:J30"/>
    <mergeCell ref="C34:D34"/>
    <mergeCell ref="I34:J34"/>
    <mergeCell ref="A30:B30"/>
    <mergeCell ref="A3:J3"/>
    <mergeCell ref="G31:H31"/>
    <mergeCell ref="I31:J31"/>
    <mergeCell ref="A31:B31"/>
    <mergeCell ref="A34:B34"/>
    <mergeCell ref="B7:B8"/>
    <mergeCell ref="D7:D8"/>
    <mergeCell ref="F5:G5"/>
    <mergeCell ref="H5:I5"/>
    <mergeCell ref="B5:C5"/>
    <mergeCell ref="A33:B33"/>
    <mergeCell ref="G33:H33"/>
    <mergeCell ref="F7:G8"/>
    <mergeCell ref="I33:J33"/>
    <mergeCell ref="A32:B32"/>
    <mergeCell ref="F9:G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showGridLines="0" workbookViewId="0">
      <selection activeCell="B34" sqref="B34"/>
    </sheetView>
  </sheetViews>
  <sheetFormatPr defaultRowHeight="15" x14ac:dyDescent="0.25"/>
  <cols>
    <col min="1" max="1" width="8" customWidth="1"/>
    <col min="2" max="2" width="36.140625" bestFit="1" customWidth="1"/>
    <col min="3" max="3" width="24.28515625" bestFit="1" customWidth="1"/>
    <col min="4" max="4" width="42.85546875" bestFit="1" customWidth="1"/>
    <col min="5" max="5" width="11.85546875" bestFit="1" customWidth="1"/>
    <col min="6" max="6" width="16.7109375" bestFit="1" customWidth="1"/>
    <col min="7" max="7" width="18.85546875" bestFit="1" customWidth="1"/>
    <col min="8" max="8" width="18.42578125" bestFit="1" customWidth="1"/>
    <col min="9" max="9" width="69" bestFit="1" customWidth="1"/>
  </cols>
  <sheetData>
    <row r="1" spans="1:9" x14ac:dyDescent="0.25">
      <c r="A1" s="120" t="s">
        <v>71</v>
      </c>
      <c r="B1" s="87"/>
      <c r="C1" s="87"/>
      <c r="D1" s="87"/>
      <c r="E1" s="87"/>
      <c r="F1" s="87"/>
      <c r="G1" s="87"/>
      <c r="H1" s="87"/>
      <c r="I1" s="87"/>
    </row>
    <row r="2" spans="1:9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x14ac:dyDescent="0.25">
      <c r="A3" s="123" t="s">
        <v>72</v>
      </c>
      <c r="B3" s="124"/>
      <c r="C3" s="124"/>
      <c r="D3" s="124"/>
      <c r="E3" s="124"/>
      <c r="F3" s="124"/>
      <c r="G3" s="124"/>
      <c r="H3" s="124"/>
      <c r="I3" s="124"/>
    </row>
    <row r="5" spans="1:9" x14ac:dyDescent="0.25">
      <c r="A5" s="57" t="s">
        <v>73</v>
      </c>
      <c r="B5" s="57" t="s">
        <v>74</v>
      </c>
      <c r="C5" s="57" t="s">
        <v>75</v>
      </c>
      <c r="D5" s="57" t="s">
        <v>76</v>
      </c>
      <c r="E5" s="57" t="s">
        <v>8</v>
      </c>
      <c r="F5" s="57" t="s">
        <v>77</v>
      </c>
      <c r="G5" s="57" t="s">
        <v>78</v>
      </c>
      <c r="H5" s="57" t="s">
        <v>79</v>
      </c>
      <c r="I5" s="57" t="s">
        <v>80</v>
      </c>
    </row>
    <row r="6" spans="1:9" x14ac:dyDescent="0.25">
      <c r="B6" s="3" t="s">
        <v>81</v>
      </c>
      <c r="C6" s="47"/>
      <c r="D6" s="47"/>
      <c r="E6" s="47"/>
      <c r="F6" s="47"/>
      <c r="G6" s="48">
        <f>SUM(G7:G8)</f>
        <v>9.99</v>
      </c>
      <c r="H6" s="49">
        <f>G6*'Resumo Comparativo'!$B$5</f>
        <v>54.945</v>
      </c>
      <c r="I6" s="50" t="s">
        <v>82</v>
      </c>
    </row>
    <row r="7" spans="1:9" x14ac:dyDescent="0.25">
      <c r="A7" s="44" t="s">
        <v>83</v>
      </c>
      <c r="B7" s="1" t="s">
        <v>84</v>
      </c>
      <c r="C7" s="51" t="s">
        <v>85</v>
      </c>
      <c r="D7" s="43" t="s">
        <v>86</v>
      </c>
      <c r="E7" s="44" t="s">
        <v>18</v>
      </c>
      <c r="F7" s="44" t="s">
        <v>87</v>
      </c>
      <c r="G7" s="52">
        <v>7.59</v>
      </c>
      <c r="H7" s="53">
        <f>G7*'Resumo Comparativo'!$B$5</f>
        <v>41.744999999999997</v>
      </c>
      <c r="I7" s="43" t="s">
        <v>88</v>
      </c>
    </row>
    <row r="8" spans="1:9" x14ac:dyDescent="0.25">
      <c r="A8" s="46" t="s">
        <v>89</v>
      </c>
      <c r="B8" s="2" t="s">
        <v>90</v>
      </c>
      <c r="C8" s="54" t="s">
        <v>91</v>
      </c>
      <c r="D8" s="45" t="s">
        <v>92</v>
      </c>
      <c r="E8" s="46" t="s">
        <v>93</v>
      </c>
      <c r="F8" s="46" t="s">
        <v>94</v>
      </c>
      <c r="G8" s="55">
        <v>2.4</v>
      </c>
      <c r="H8" s="56">
        <f>G8*'Resumo Comparativo'!$B$5</f>
        <v>13.2</v>
      </c>
      <c r="I8" s="45" t="s">
        <v>95</v>
      </c>
    </row>
    <row r="9" spans="1:9" x14ac:dyDescent="0.25">
      <c r="B9" s="3" t="s">
        <v>96</v>
      </c>
      <c r="C9" s="47"/>
      <c r="D9" s="47"/>
      <c r="E9" s="47"/>
      <c r="F9" s="47"/>
      <c r="G9" s="48">
        <f>SUM(G12:G13)</f>
        <v>13.14</v>
      </c>
      <c r="H9" s="49">
        <f>G9*'Resumo Comparativo'!$B$5</f>
        <v>72.27000000000001</v>
      </c>
      <c r="I9" s="50" t="s">
        <v>97</v>
      </c>
    </row>
    <row r="10" spans="1:9" x14ac:dyDescent="0.25">
      <c r="A10" s="46" t="s">
        <v>98</v>
      </c>
      <c r="B10" s="2" t="s">
        <v>99</v>
      </c>
      <c r="C10" s="54" t="s">
        <v>100</v>
      </c>
      <c r="D10" s="45" t="s">
        <v>101</v>
      </c>
      <c r="E10" s="46" t="s">
        <v>102</v>
      </c>
      <c r="F10" s="46" t="s">
        <v>103</v>
      </c>
      <c r="G10" s="55">
        <v>0.23</v>
      </c>
      <c r="H10" s="56">
        <f>G10*'Resumo Comparativo'!$B$5</f>
        <v>1.2650000000000001</v>
      </c>
      <c r="I10" s="45" t="s">
        <v>104</v>
      </c>
    </row>
    <row r="11" spans="1:9" x14ac:dyDescent="0.25">
      <c r="A11" s="44" t="s">
        <v>105</v>
      </c>
      <c r="B11" s="1" t="s">
        <v>106</v>
      </c>
      <c r="C11" s="51" t="s">
        <v>107</v>
      </c>
      <c r="D11" s="43" t="s">
        <v>108</v>
      </c>
      <c r="E11" s="44" t="s">
        <v>109</v>
      </c>
      <c r="F11" s="44" t="s">
        <v>110</v>
      </c>
      <c r="G11" s="52">
        <v>0.05</v>
      </c>
      <c r="H11" s="53">
        <f>G11*'Resumo Comparativo'!$B$5</f>
        <v>0.27500000000000002</v>
      </c>
      <c r="I11" s="43" t="s">
        <v>111</v>
      </c>
    </row>
    <row r="12" spans="1:9" x14ac:dyDescent="0.25">
      <c r="B12" s="3" t="s">
        <v>112</v>
      </c>
      <c r="C12" s="47"/>
      <c r="D12" s="47"/>
      <c r="E12" s="47"/>
      <c r="F12" s="47"/>
      <c r="G12" s="48">
        <f>SUM(G15:G16)</f>
        <v>13.14</v>
      </c>
      <c r="H12" s="49">
        <f>G12*'Resumo Comparativo'!$B$5</f>
        <v>72.27000000000001</v>
      </c>
      <c r="I12" s="50" t="s">
        <v>113</v>
      </c>
    </row>
    <row r="13" spans="1:9" x14ac:dyDescent="0.25">
      <c r="A13" s="44" t="s">
        <v>114</v>
      </c>
      <c r="B13" s="1" t="s">
        <v>115</v>
      </c>
      <c r="C13" s="51" t="s">
        <v>116</v>
      </c>
      <c r="D13" s="43" t="s">
        <v>117</v>
      </c>
      <c r="E13" s="44" t="s">
        <v>118</v>
      </c>
      <c r="F13" s="44" t="s">
        <v>119</v>
      </c>
      <c r="G13" s="52">
        <v>0</v>
      </c>
      <c r="H13" s="53">
        <f>G13*'Resumo Comparativo'!$B$5</f>
        <v>0</v>
      </c>
      <c r="I13" s="43" t="s">
        <v>120</v>
      </c>
    </row>
    <row r="14" spans="1:9" x14ac:dyDescent="0.25">
      <c r="A14" s="46" t="s">
        <v>121</v>
      </c>
      <c r="B14" s="2" t="s">
        <v>122</v>
      </c>
      <c r="C14" s="54" t="s">
        <v>123</v>
      </c>
      <c r="D14" s="45" t="s">
        <v>124</v>
      </c>
      <c r="E14" s="46" t="s">
        <v>125</v>
      </c>
      <c r="F14" s="46" t="s">
        <v>126</v>
      </c>
      <c r="G14" s="55">
        <v>1</v>
      </c>
      <c r="H14" s="56">
        <f>G14*'Resumo Comparativo'!$B$5</f>
        <v>5.5</v>
      </c>
      <c r="I14" s="45" t="s">
        <v>127</v>
      </c>
    </row>
    <row r="15" spans="1:9" x14ac:dyDescent="0.25">
      <c r="B15" s="3" t="s">
        <v>128</v>
      </c>
      <c r="C15" s="47"/>
      <c r="D15" s="47"/>
      <c r="E15" s="47"/>
      <c r="F15" s="47"/>
      <c r="G15" s="48">
        <f>SUM(G20:G21)</f>
        <v>0</v>
      </c>
      <c r="H15" s="49">
        <f>G15*'Resumo Comparativo'!$B$5</f>
        <v>0</v>
      </c>
      <c r="I15" s="50" t="s">
        <v>129</v>
      </c>
    </row>
    <row r="16" spans="1:9" x14ac:dyDescent="0.25">
      <c r="A16" s="46" t="s">
        <v>130</v>
      </c>
      <c r="B16" s="2" t="s">
        <v>131</v>
      </c>
      <c r="C16" s="54" t="s">
        <v>132</v>
      </c>
      <c r="D16" s="45" t="s">
        <v>133</v>
      </c>
      <c r="E16" s="46" t="s">
        <v>27</v>
      </c>
      <c r="F16" s="46" t="s">
        <v>87</v>
      </c>
      <c r="G16" s="55">
        <v>13.14</v>
      </c>
      <c r="H16" s="56">
        <f>G16*'Resumo Comparativo'!$B$5</f>
        <v>72.27000000000001</v>
      </c>
      <c r="I16" s="45" t="s">
        <v>134</v>
      </c>
    </row>
    <row r="17" spans="1:9" x14ac:dyDescent="0.25">
      <c r="A17" s="44" t="s">
        <v>135</v>
      </c>
      <c r="B17" s="1" t="s">
        <v>136</v>
      </c>
      <c r="C17" s="51" t="s">
        <v>137</v>
      </c>
      <c r="D17" s="43" t="s">
        <v>138</v>
      </c>
      <c r="E17" s="44" t="s">
        <v>139</v>
      </c>
      <c r="F17" s="44" t="s">
        <v>140</v>
      </c>
      <c r="G17" s="52">
        <v>2.2999999999999998</v>
      </c>
      <c r="H17" s="53">
        <f>G17*'Resumo Comparativo'!$B$5</f>
        <v>12.649999999999999</v>
      </c>
      <c r="I17" s="43" t="s">
        <v>141</v>
      </c>
    </row>
    <row r="18" spans="1:9" x14ac:dyDescent="0.25">
      <c r="B18" s="3" t="s">
        <v>142</v>
      </c>
      <c r="C18" s="47"/>
      <c r="D18" s="47"/>
      <c r="E18" s="47"/>
      <c r="F18" s="47"/>
      <c r="G18" s="48">
        <f>G23</f>
        <v>13.84</v>
      </c>
      <c r="H18" s="49">
        <f>G18*'Resumo Comparativo'!$B$5</f>
        <v>76.12</v>
      </c>
      <c r="I18" s="50" t="s">
        <v>143</v>
      </c>
    </row>
    <row r="19" spans="1:9" x14ac:dyDescent="0.25">
      <c r="A19" s="44" t="s">
        <v>144</v>
      </c>
      <c r="B19" s="1" t="s">
        <v>145</v>
      </c>
      <c r="C19" s="51" t="s">
        <v>146</v>
      </c>
      <c r="D19" s="43" t="s">
        <v>147</v>
      </c>
      <c r="E19" s="44" t="s">
        <v>30</v>
      </c>
      <c r="F19" s="44" t="s">
        <v>148</v>
      </c>
      <c r="G19" s="52">
        <v>2.8</v>
      </c>
      <c r="H19" s="53">
        <f>G19*'Resumo Comparativo'!$B$5</f>
        <v>15.399999999999999</v>
      </c>
      <c r="I19" s="43" t="s">
        <v>149</v>
      </c>
    </row>
    <row r="20" spans="1:9" x14ac:dyDescent="0.25">
      <c r="A20" s="21"/>
      <c r="B20" s="21"/>
      <c r="C20" s="21"/>
      <c r="D20" s="21"/>
      <c r="E20" s="21"/>
      <c r="F20" s="21"/>
      <c r="G20" s="21"/>
      <c r="H20" s="21"/>
      <c r="I20" s="21"/>
    </row>
    <row r="21" spans="1:9" x14ac:dyDescent="0.25">
      <c r="A21" s="21"/>
      <c r="B21" s="21"/>
      <c r="C21" s="21"/>
      <c r="D21" s="21"/>
      <c r="E21" s="21"/>
      <c r="F21" s="21"/>
      <c r="G21" s="21"/>
      <c r="H21" s="21"/>
      <c r="I21" s="21"/>
    </row>
    <row r="22" spans="1:9" x14ac:dyDescent="0.2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33" x14ac:dyDescent="0.25">
      <c r="A23" s="58" t="s">
        <v>150</v>
      </c>
      <c r="B23" s="121" t="s">
        <v>151</v>
      </c>
      <c r="C23" s="122"/>
      <c r="D23" s="122"/>
      <c r="E23" s="122"/>
      <c r="F23" s="122"/>
      <c r="G23" s="59">
        <f>G6+G11+G14+G19+G22</f>
        <v>13.84</v>
      </c>
      <c r="H23" s="60">
        <f>G23*'Resumo Comparativo'!$B$5</f>
        <v>76.12</v>
      </c>
      <c r="I23" s="61" t="s">
        <v>152</v>
      </c>
    </row>
    <row r="24" spans="1:9" s="21" customFormat="1" ht="16.5" x14ac:dyDescent="0.25">
      <c r="A24" s="79"/>
      <c r="B24" s="80"/>
      <c r="C24" s="81"/>
      <c r="D24" s="81"/>
      <c r="E24" s="81"/>
      <c r="F24" s="81"/>
      <c r="G24" s="82"/>
      <c r="H24" s="83"/>
      <c r="I24" s="84"/>
    </row>
    <row r="25" spans="1:9" x14ac:dyDescent="0.25">
      <c r="A25" s="119" t="s">
        <v>153</v>
      </c>
      <c r="B25" s="94"/>
      <c r="C25" s="94"/>
      <c r="D25" s="94"/>
      <c r="E25" s="94"/>
      <c r="F25" s="94"/>
      <c r="G25" s="94"/>
      <c r="H25" s="94"/>
      <c r="I25" s="94"/>
    </row>
    <row r="26" spans="1:9" x14ac:dyDescent="0.25">
      <c r="A26" s="71" t="s">
        <v>154</v>
      </c>
      <c r="B26" s="4" t="s">
        <v>155</v>
      </c>
      <c r="C26" s="69" t="s">
        <v>156</v>
      </c>
      <c r="D26" s="70" t="s">
        <v>157</v>
      </c>
      <c r="E26" s="71" t="s">
        <v>158</v>
      </c>
      <c r="F26" s="71" t="s">
        <v>87</v>
      </c>
      <c r="G26" s="63">
        <f>G23+9.99</f>
        <v>23.83</v>
      </c>
      <c r="H26" s="64">
        <f>G26*'Resumo Comparativo'!$B$5</f>
        <v>131.065</v>
      </c>
      <c r="I26" s="5" t="s">
        <v>159</v>
      </c>
    </row>
    <row r="27" spans="1:9" s="21" customFormat="1" x14ac:dyDescent="0.25">
      <c r="A27" s="72"/>
      <c r="B27" s="73"/>
      <c r="C27" s="74"/>
      <c r="D27" s="75"/>
      <c r="E27" s="72"/>
      <c r="F27" s="72"/>
      <c r="G27" s="76"/>
      <c r="H27" s="77"/>
      <c r="I27" s="78"/>
    </row>
    <row r="28" spans="1:9" x14ac:dyDescent="0.25">
      <c r="A28" s="119" t="s">
        <v>160</v>
      </c>
      <c r="B28" s="94"/>
      <c r="C28" s="94"/>
      <c r="D28" s="94"/>
      <c r="E28" s="94"/>
      <c r="F28" s="94"/>
      <c r="G28" s="94"/>
      <c r="H28" s="94"/>
      <c r="I28" s="94"/>
    </row>
    <row r="29" spans="1:9" x14ac:dyDescent="0.25">
      <c r="A29" s="68" t="s">
        <v>161</v>
      </c>
      <c r="B29" s="6" t="s">
        <v>162</v>
      </c>
      <c r="C29" s="66" t="s">
        <v>163</v>
      </c>
      <c r="D29" s="67" t="s">
        <v>164</v>
      </c>
      <c r="E29" s="68" t="s">
        <v>18</v>
      </c>
      <c r="F29" s="68" t="s">
        <v>165</v>
      </c>
      <c r="G29" s="62">
        <f>G6+G11+G14+G22+0</f>
        <v>11.040000000000001</v>
      </c>
      <c r="H29" s="65">
        <f>G29*'Resumo Comparativo'!$B$5</f>
        <v>60.720000000000006</v>
      </c>
      <c r="I29" s="7" t="s">
        <v>166</v>
      </c>
    </row>
  </sheetData>
  <mergeCells count="5">
    <mergeCell ref="A25:I25"/>
    <mergeCell ref="A28:I28"/>
    <mergeCell ref="A1:I2"/>
    <mergeCell ref="B23:F23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showGridLines="0" workbookViewId="0">
      <selection sqref="A1:I29"/>
    </sheetView>
  </sheetViews>
  <sheetFormatPr defaultRowHeight="15" x14ac:dyDescent="0.25"/>
  <cols>
    <col min="1" max="1" width="8" customWidth="1"/>
    <col min="2" max="2" width="36.140625" bestFit="1" customWidth="1"/>
    <col min="3" max="3" width="28" bestFit="1" customWidth="1"/>
    <col min="4" max="4" width="38.85546875" bestFit="1" customWidth="1"/>
    <col min="5" max="5" width="11.85546875" bestFit="1" customWidth="1"/>
    <col min="6" max="6" width="16.7109375" bestFit="1" customWidth="1"/>
    <col min="7" max="7" width="18.85546875" bestFit="1" customWidth="1"/>
    <col min="8" max="8" width="18.42578125" bestFit="1" customWidth="1"/>
    <col min="9" max="9" width="51.28515625" bestFit="1" customWidth="1"/>
  </cols>
  <sheetData>
    <row r="1" spans="1:9" ht="15" customHeight="1" x14ac:dyDescent="0.25">
      <c r="A1" s="120" t="s">
        <v>167</v>
      </c>
      <c r="B1" s="87"/>
      <c r="C1" s="87"/>
      <c r="D1" s="87"/>
      <c r="E1" s="87"/>
      <c r="F1" s="87"/>
      <c r="G1" s="87"/>
      <c r="H1" s="87"/>
      <c r="I1" s="87"/>
    </row>
    <row r="2" spans="1:9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x14ac:dyDescent="0.25">
      <c r="A3" s="123" t="s">
        <v>168</v>
      </c>
      <c r="B3" s="124"/>
      <c r="C3" s="124"/>
      <c r="D3" s="124"/>
      <c r="E3" s="124"/>
      <c r="F3" s="124"/>
      <c r="G3" s="124"/>
      <c r="H3" s="124"/>
      <c r="I3" s="124"/>
    </row>
    <row r="5" spans="1:9" x14ac:dyDescent="0.25">
      <c r="A5" s="57" t="s">
        <v>73</v>
      </c>
      <c r="B5" s="57" t="s">
        <v>74</v>
      </c>
      <c r="C5" s="57" t="s">
        <v>75</v>
      </c>
      <c r="D5" s="57" t="s">
        <v>76</v>
      </c>
      <c r="E5" s="57" t="s">
        <v>8</v>
      </c>
      <c r="F5" s="57" t="s">
        <v>77</v>
      </c>
      <c r="G5" s="57" t="s">
        <v>78</v>
      </c>
      <c r="H5" s="57" t="s">
        <v>79</v>
      </c>
      <c r="I5" s="57" t="s">
        <v>80</v>
      </c>
    </row>
    <row r="6" spans="1:9" x14ac:dyDescent="0.25">
      <c r="B6" s="3" t="s">
        <v>81</v>
      </c>
      <c r="C6" s="47"/>
      <c r="D6" s="47"/>
      <c r="E6" s="47"/>
      <c r="F6" s="47"/>
      <c r="G6" s="48">
        <f>SUM(G7:G8)</f>
        <v>9.99</v>
      </c>
      <c r="H6" s="49">
        <f>G6*'Resumo Comparativo'!$B$5</f>
        <v>54.945</v>
      </c>
      <c r="I6" s="50" t="s">
        <v>169</v>
      </c>
    </row>
    <row r="7" spans="1:9" x14ac:dyDescent="0.25">
      <c r="A7" s="44" t="s">
        <v>170</v>
      </c>
      <c r="B7" s="1" t="s">
        <v>84</v>
      </c>
      <c r="C7" s="51" t="s">
        <v>171</v>
      </c>
      <c r="D7" s="43" t="s">
        <v>172</v>
      </c>
      <c r="E7" s="44" t="s">
        <v>18</v>
      </c>
      <c r="F7" s="44" t="s">
        <v>87</v>
      </c>
      <c r="G7" s="52">
        <v>7.59</v>
      </c>
      <c r="H7" s="53">
        <f>G7*'Resumo Comparativo'!$B$5</f>
        <v>41.744999999999997</v>
      </c>
      <c r="I7" s="43" t="s">
        <v>173</v>
      </c>
    </row>
    <row r="8" spans="1:9" x14ac:dyDescent="0.25">
      <c r="A8" s="46" t="s">
        <v>174</v>
      </c>
      <c r="B8" s="2" t="s">
        <v>90</v>
      </c>
      <c r="C8" s="54" t="s">
        <v>175</v>
      </c>
      <c r="D8" s="45" t="s">
        <v>176</v>
      </c>
      <c r="E8" s="46" t="s">
        <v>93</v>
      </c>
      <c r="F8" s="46" t="s">
        <v>177</v>
      </c>
      <c r="G8" s="55">
        <v>2.4</v>
      </c>
      <c r="H8" s="56">
        <f>G8*'Resumo Comparativo'!$B$5</f>
        <v>13.2</v>
      </c>
      <c r="I8" s="45" t="s">
        <v>178</v>
      </c>
    </row>
    <row r="9" spans="1:9" x14ac:dyDescent="0.25">
      <c r="B9" s="3" t="s">
        <v>96</v>
      </c>
      <c r="C9" s="47"/>
      <c r="D9" s="47"/>
      <c r="E9" s="47"/>
      <c r="F9" s="47"/>
      <c r="G9" s="48">
        <f>SUM(G12:G13)</f>
        <v>21.1</v>
      </c>
      <c r="H9" s="49">
        <f>G9*'Resumo Comparativo'!$B$5</f>
        <v>116.05000000000001</v>
      </c>
      <c r="I9" s="50" t="s">
        <v>179</v>
      </c>
    </row>
    <row r="10" spans="1:9" x14ac:dyDescent="0.25">
      <c r="A10" s="46" t="s">
        <v>180</v>
      </c>
      <c r="B10" s="2" t="s">
        <v>99</v>
      </c>
      <c r="C10" s="54" t="s">
        <v>181</v>
      </c>
      <c r="D10" s="45" t="s">
        <v>182</v>
      </c>
      <c r="E10" s="46" t="s">
        <v>102</v>
      </c>
      <c r="F10" s="46" t="s">
        <v>103</v>
      </c>
      <c r="G10" s="55">
        <v>0.18</v>
      </c>
      <c r="H10" s="56">
        <f>G10*'Resumo Comparativo'!$B$5</f>
        <v>0.99</v>
      </c>
      <c r="I10" s="45" t="s">
        <v>183</v>
      </c>
    </row>
    <row r="11" spans="1:9" x14ac:dyDescent="0.25">
      <c r="A11" s="44" t="s">
        <v>184</v>
      </c>
      <c r="B11" s="1" t="s">
        <v>185</v>
      </c>
      <c r="C11" s="51" t="s">
        <v>186</v>
      </c>
      <c r="D11" s="43" t="s">
        <v>187</v>
      </c>
      <c r="E11" s="44" t="s">
        <v>109</v>
      </c>
      <c r="F11" s="44" t="s">
        <v>110</v>
      </c>
      <c r="G11" s="52">
        <v>0.06</v>
      </c>
      <c r="H11" s="53">
        <f>G11*'Resumo Comparativo'!$B$5</f>
        <v>0.32999999999999996</v>
      </c>
      <c r="I11" s="43" t="s">
        <v>188</v>
      </c>
    </row>
    <row r="12" spans="1:9" x14ac:dyDescent="0.25">
      <c r="B12" s="3" t="s">
        <v>112</v>
      </c>
      <c r="C12" s="47"/>
      <c r="D12" s="47"/>
      <c r="E12" s="47"/>
      <c r="F12" s="47"/>
      <c r="G12" s="48">
        <f>SUM(G15:G16)</f>
        <v>13</v>
      </c>
      <c r="H12" s="49">
        <f>G12*'Resumo Comparativo'!$B$5</f>
        <v>71.5</v>
      </c>
      <c r="I12" s="50" t="s">
        <v>189</v>
      </c>
    </row>
    <row r="13" spans="1:9" x14ac:dyDescent="0.25">
      <c r="A13" s="44" t="s">
        <v>190</v>
      </c>
      <c r="B13" s="1" t="s">
        <v>115</v>
      </c>
      <c r="C13" s="51" t="s">
        <v>191</v>
      </c>
      <c r="D13" s="43" t="s">
        <v>192</v>
      </c>
      <c r="E13" s="44" t="s">
        <v>118</v>
      </c>
      <c r="F13" s="44" t="s">
        <v>119</v>
      </c>
      <c r="G13" s="52">
        <v>8.1</v>
      </c>
      <c r="H13" s="53">
        <f>G13*'Resumo Comparativo'!$B$5</f>
        <v>44.55</v>
      </c>
      <c r="I13" s="43" t="s">
        <v>193</v>
      </c>
    </row>
    <row r="14" spans="1:9" x14ac:dyDescent="0.25">
      <c r="A14" s="46" t="s">
        <v>194</v>
      </c>
      <c r="B14" s="2" t="s">
        <v>195</v>
      </c>
      <c r="C14" s="54" t="s">
        <v>196</v>
      </c>
      <c r="D14" s="45" t="s">
        <v>197</v>
      </c>
      <c r="E14" s="46" t="s">
        <v>198</v>
      </c>
      <c r="F14" s="46" t="s">
        <v>199</v>
      </c>
      <c r="G14" s="55">
        <v>0</v>
      </c>
      <c r="H14" s="56">
        <f>G14*'Resumo Comparativo'!$B$5</f>
        <v>0</v>
      </c>
      <c r="I14" s="45" t="s">
        <v>200</v>
      </c>
    </row>
    <row r="15" spans="1:9" x14ac:dyDescent="0.25">
      <c r="B15" s="3" t="s">
        <v>128</v>
      </c>
      <c r="C15" s="47"/>
      <c r="D15" s="47"/>
      <c r="E15" s="47"/>
      <c r="F15" s="47"/>
      <c r="G15" s="48">
        <f>SUM(G20:G21)</f>
        <v>0</v>
      </c>
      <c r="H15" s="49">
        <f>G15*'Resumo Comparativo'!$B$5</f>
        <v>0</v>
      </c>
      <c r="I15" s="50" t="s">
        <v>201</v>
      </c>
    </row>
    <row r="16" spans="1:9" x14ac:dyDescent="0.25">
      <c r="A16" s="46" t="s">
        <v>202</v>
      </c>
      <c r="B16" s="2" t="s">
        <v>131</v>
      </c>
      <c r="C16" s="54" t="s">
        <v>203</v>
      </c>
      <c r="D16" s="45" t="s">
        <v>204</v>
      </c>
      <c r="E16" s="46" t="s">
        <v>27</v>
      </c>
      <c r="F16" s="46" t="s">
        <v>87</v>
      </c>
      <c r="G16" s="55">
        <v>13</v>
      </c>
      <c r="H16" s="56">
        <f>G16*'Resumo Comparativo'!$B$5</f>
        <v>71.5</v>
      </c>
      <c r="I16" s="45" t="s">
        <v>205</v>
      </c>
    </row>
    <row r="17" spans="1:9" x14ac:dyDescent="0.25">
      <c r="A17" s="44" t="s">
        <v>206</v>
      </c>
      <c r="B17" s="1" t="s">
        <v>136</v>
      </c>
      <c r="C17" s="51" t="s">
        <v>207</v>
      </c>
      <c r="D17" s="43" t="s">
        <v>208</v>
      </c>
      <c r="E17" s="44" t="s">
        <v>139</v>
      </c>
      <c r="F17" s="44" t="s">
        <v>177</v>
      </c>
      <c r="G17" s="52">
        <v>3.68</v>
      </c>
      <c r="H17" s="53">
        <f>G17*'Resumo Comparativo'!$B$5</f>
        <v>20.240000000000002</v>
      </c>
      <c r="I17" s="43" t="s">
        <v>209</v>
      </c>
    </row>
    <row r="18" spans="1:9" x14ac:dyDescent="0.25">
      <c r="B18" s="3" t="s">
        <v>142</v>
      </c>
      <c r="C18" s="47"/>
      <c r="D18" s="47"/>
      <c r="E18" s="47"/>
      <c r="F18" s="47"/>
      <c r="G18" s="48">
        <f>G23</f>
        <v>11.55</v>
      </c>
      <c r="H18" s="49">
        <f>G18*'Resumo Comparativo'!$B$5</f>
        <v>63.525000000000006</v>
      </c>
      <c r="I18" s="50" t="s">
        <v>210</v>
      </c>
    </row>
    <row r="19" spans="1:9" x14ac:dyDescent="0.25">
      <c r="A19" s="44" t="s">
        <v>211</v>
      </c>
      <c r="B19" s="1" t="s">
        <v>145</v>
      </c>
      <c r="C19" s="51" t="s">
        <v>212</v>
      </c>
      <c r="D19" s="43" t="s">
        <v>213</v>
      </c>
      <c r="E19" s="44" t="s">
        <v>30</v>
      </c>
      <c r="F19" s="44" t="s">
        <v>148</v>
      </c>
      <c r="G19" s="52">
        <v>1.5</v>
      </c>
      <c r="H19" s="53">
        <f>G19*'Resumo Comparativo'!$B$5</f>
        <v>8.25</v>
      </c>
      <c r="I19" s="43" t="s">
        <v>214</v>
      </c>
    </row>
    <row r="23" spans="1:9" ht="33" x14ac:dyDescent="0.25">
      <c r="A23" s="58" t="s">
        <v>150</v>
      </c>
      <c r="B23" s="121" t="s">
        <v>151</v>
      </c>
      <c r="C23" s="122"/>
      <c r="D23" s="122"/>
      <c r="E23" s="122"/>
      <c r="F23" s="122"/>
      <c r="G23" s="59">
        <f>G6+G11+G14+G19+G22</f>
        <v>11.55</v>
      </c>
      <c r="H23" s="60">
        <f>G23*'Resumo Comparativo'!$B$5</f>
        <v>63.525000000000006</v>
      </c>
      <c r="I23" s="61" t="s">
        <v>152</v>
      </c>
    </row>
    <row r="24" spans="1:9" ht="16.5" x14ac:dyDescent="0.25">
      <c r="A24" s="79"/>
      <c r="B24" s="80"/>
      <c r="C24" s="81"/>
      <c r="D24" s="81"/>
      <c r="E24" s="81"/>
      <c r="F24" s="81"/>
      <c r="G24" s="82"/>
      <c r="H24" s="83"/>
      <c r="I24" s="84"/>
    </row>
    <row r="25" spans="1:9" x14ac:dyDescent="0.25">
      <c r="A25" s="119" t="s">
        <v>153</v>
      </c>
      <c r="B25" s="94"/>
      <c r="C25" s="94"/>
      <c r="D25" s="94"/>
      <c r="E25" s="94"/>
      <c r="F25" s="94"/>
      <c r="G25" s="94"/>
      <c r="H25" s="94"/>
      <c r="I25" s="94"/>
    </row>
    <row r="26" spans="1:9" x14ac:dyDescent="0.25">
      <c r="A26" s="71" t="s">
        <v>215</v>
      </c>
      <c r="B26" s="4" t="s">
        <v>155</v>
      </c>
      <c r="C26" s="69" t="s">
        <v>216</v>
      </c>
      <c r="D26" s="70" t="s">
        <v>217</v>
      </c>
      <c r="E26" s="71" t="s">
        <v>158</v>
      </c>
      <c r="F26" s="71" t="s">
        <v>87</v>
      </c>
      <c r="G26" s="63">
        <f>G23+9.99</f>
        <v>21.54</v>
      </c>
      <c r="H26" s="64">
        <f>G26*'Resumo Comparativo'!$B$5</f>
        <v>118.47</v>
      </c>
      <c r="I26" s="5" t="s">
        <v>218</v>
      </c>
    </row>
    <row r="27" spans="1:9" x14ac:dyDescent="0.25">
      <c r="A27" s="72"/>
      <c r="B27" s="73"/>
      <c r="C27" s="74"/>
      <c r="D27" s="75"/>
      <c r="E27" s="72"/>
      <c r="F27" s="72"/>
      <c r="G27" s="76"/>
      <c r="H27" s="77"/>
      <c r="I27" s="78"/>
    </row>
    <row r="28" spans="1:9" x14ac:dyDescent="0.25">
      <c r="A28" s="119" t="s">
        <v>160</v>
      </c>
      <c r="B28" s="94"/>
      <c r="C28" s="94"/>
      <c r="D28" s="94"/>
      <c r="E28" s="94"/>
      <c r="F28" s="94"/>
      <c r="G28" s="94"/>
      <c r="H28" s="94"/>
      <c r="I28" s="94"/>
    </row>
    <row r="29" spans="1:9" x14ac:dyDescent="0.25">
      <c r="A29" s="68" t="s">
        <v>219</v>
      </c>
      <c r="B29" s="6" t="s">
        <v>220</v>
      </c>
      <c r="C29" s="66" t="s">
        <v>221</v>
      </c>
      <c r="D29" s="67" t="s">
        <v>222</v>
      </c>
      <c r="E29" s="68" t="s">
        <v>18</v>
      </c>
      <c r="F29" s="68" t="s">
        <v>165</v>
      </c>
      <c r="G29" s="62">
        <f>G6+G11+G14+G22+0</f>
        <v>10.050000000000001</v>
      </c>
      <c r="H29" s="65">
        <f>G29*'Resumo Comparativo'!$B$5</f>
        <v>55.275000000000006</v>
      </c>
      <c r="I29" s="7" t="s">
        <v>223</v>
      </c>
    </row>
  </sheetData>
  <mergeCells count="5">
    <mergeCell ref="A25:I25"/>
    <mergeCell ref="A28:I28"/>
    <mergeCell ref="A1:I2"/>
    <mergeCell ref="B23:F23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>
      <selection activeCell="N23" sqref="N23"/>
    </sheetView>
  </sheetViews>
  <sheetFormatPr defaultRowHeight="15" x14ac:dyDescent="0.25"/>
  <cols>
    <col min="1" max="1" width="8" customWidth="1"/>
    <col min="2" max="2" width="36.140625" bestFit="1" customWidth="1"/>
    <col min="3" max="3" width="26" customWidth="1"/>
    <col min="4" max="4" width="40.7109375" bestFit="1" customWidth="1"/>
    <col min="5" max="5" width="12" customWidth="1"/>
    <col min="6" max="6" width="16" customWidth="1"/>
    <col min="7" max="8" width="18" customWidth="1"/>
    <col min="9" max="9" width="42" customWidth="1"/>
  </cols>
  <sheetData>
    <row r="1" spans="1:9" ht="15" customHeight="1" x14ac:dyDescent="0.25">
      <c r="A1" s="120" t="s">
        <v>224</v>
      </c>
      <c r="B1" s="87"/>
      <c r="C1" s="87"/>
      <c r="D1" s="87"/>
      <c r="E1" s="87"/>
      <c r="F1" s="87"/>
      <c r="G1" s="87"/>
      <c r="H1" s="87"/>
      <c r="I1" s="87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x14ac:dyDescent="0.25">
      <c r="A3" s="123" t="s">
        <v>225</v>
      </c>
      <c r="B3" s="124"/>
      <c r="C3" s="124"/>
      <c r="D3" s="124"/>
      <c r="E3" s="124"/>
      <c r="F3" s="124"/>
      <c r="G3" s="124"/>
      <c r="H3" s="124"/>
      <c r="I3" s="124"/>
    </row>
    <row r="5" spans="1:9" ht="28.5" x14ac:dyDescent="0.25">
      <c r="A5" s="57" t="s">
        <v>73</v>
      </c>
      <c r="B5" s="57" t="s">
        <v>74</v>
      </c>
      <c r="C5" s="57" t="s">
        <v>75</v>
      </c>
      <c r="D5" s="57" t="s">
        <v>76</v>
      </c>
      <c r="E5" s="57" t="s">
        <v>8</v>
      </c>
      <c r="F5" s="57" t="s">
        <v>77</v>
      </c>
      <c r="G5" s="57" t="s">
        <v>78</v>
      </c>
      <c r="H5" s="57" t="s">
        <v>79</v>
      </c>
      <c r="I5" s="57" t="s">
        <v>80</v>
      </c>
    </row>
    <row r="6" spans="1:9" x14ac:dyDescent="0.25">
      <c r="B6" s="3" t="s">
        <v>81</v>
      </c>
      <c r="C6" s="47"/>
      <c r="D6" s="47"/>
      <c r="E6" s="47"/>
      <c r="F6" s="47"/>
      <c r="G6" s="48">
        <f>SUM(G7:G8)</f>
        <v>9.11</v>
      </c>
      <c r="H6" s="49">
        <f>G6*'Resumo Comparativo'!$B$5</f>
        <v>50.104999999999997</v>
      </c>
      <c r="I6" s="50" t="s">
        <v>226</v>
      </c>
    </row>
    <row r="7" spans="1:9" x14ac:dyDescent="0.25">
      <c r="A7" s="44" t="s">
        <v>227</v>
      </c>
      <c r="B7" s="1" t="s">
        <v>84</v>
      </c>
      <c r="C7" s="51" t="s">
        <v>228</v>
      </c>
      <c r="D7" s="43" t="s">
        <v>229</v>
      </c>
      <c r="E7" s="44" t="s">
        <v>18</v>
      </c>
      <c r="F7" s="44" t="s">
        <v>87</v>
      </c>
      <c r="G7" s="52">
        <v>6.11</v>
      </c>
      <c r="H7" s="53">
        <f>G7*'Resumo Comparativo'!$B$5</f>
        <v>33.605000000000004</v>
      </c>
      <c r="I7" s="43" t="s">
        <v>230</v>
      </c>
    </row>
    <row r="8" spans="1:9" x14ac:dyDescent="0.25">
      <c r="A8" s="46" t="s">
        <v>231</v>
      </c>
      <c r="B8" s="2" t="s">
        <v>90</v>
      </c>
      <c r="C8" s="54" t="s">
        <v>232</v>
      </c>
      <c r="D8" s="45" t="s">
        <v>233</v>
      </c>
      <c r="E8" s="46" t="s">
        <v>93</v>
      </c>
      <c r="F8" s="46" t="s">
        <v>94</v>
      </c>
      <c r="G8" s="55">
        <v>3</v>
      </c>
      <c r="H8" s="56">
        <f>G8*'Resumo Comparativo'!$B$5</f>
        <v>16.5</v>
      </c>
      <c r="I8" s="45" t="s">
        <v>234</v>
      </c>
    </row>
    <row r="9" spans="1:9" x14ac:dyDescent="0.25">
      <c r="B9" s="3" t="s">
        <v>96</v>
      </c>
      <c r="C9" s="47"/>
      <c r="D9" s="47"/>
      <c r="E9" s="47"/>
      <c r="F9" s="47"/>
      <c r="G9" s="48">
        <f>SUM(G12:G13)</f>
        <v>15.67</v>
      </c>
      <c r="H9" s="49">
        <f>G9*'Resumo Comparativo'!$B$5</f>
        <v>86.185000000000002</v>
      </c>
      <c r="I9" s="50" t="s">
        <v>235</v>
      </c>
    </row>
    <row r="10" spans="1:9" x14ac:dyDescent="0.25">
      <c r="A10" s="46" t="s">
        <v>236</v>
      </c>
      <c r="B10" s="2" t="s">
        <v>99</v>
      </c>
      <c r="C10" s="54" t="s">
        <v>237</v>
      </c>
      <c r="D10" s="45" t="s">
        <v>238</v>
      </c>
      <c r="E10" s="46" t="s">
        <v>102</v>
      </c>
      <c r="F10" s="46" t="s">
        <v>103</v>
      </c>
      <c r="G10" s="55">
        <v>0.2</v>
      </c>
      <c r="H10" s="56">
        <f>G10*'Resumo Comparativo'!$B$5</f>
        <v>1.1000000000000001</v>
      </c>
      <c r="I10" s="45" t="s">
        <v>239</v>
      </c>
    </row>
    <row r="11" spans="1:9" x14ac:dyDescent="0.25">
      <c r="A11" s="44" t="s">
        <v>240</v>
      </c>
      <c r="B11" s="1" t="s">
        <v>185</v>
      </c>
      <c r="C11" s="51" t="s">
        <v>241</v>
      </c>
      <c r="D11" s="43" t="s">
        <v>242</v>
      </c>
      <c r="E11" s="44" t="s">
        <v>109</v>
      </c>
      <c r="F11" s="44" t="s">
        <v>110</v>
      </c>
      <c r="G11" s="52">
        <v>0.04</v>
      </c>
      <c r="H11" s="53">
        <f>G11*'Resumo Comparativo'!$B$5</f>
        <v>0.22</v>
      </c>
      <c r="I11" s="43" t="s">
        <v>243</v>
      </c>
    </row>
    <row r="12" spans="1:9" x14ac:dyDescent="0.25">
      <c r="B12" s="3" t="s">
        <v>112</v>
      </c>
      <c r="C12" s="47"/>
      <c r="D12" s="47"/>
      <c r="E12" s="47"/>
      <c r="F12" s="47"/>
      <c r="G12" s="48">
        <f>SUM(G15:G16)</f>
        <v>7.67</v>
      </c>
      <c r="H12" s="49">
        <f>G12*'Resumo Comparativo'!$B$5</f>
        <v>42.185000000000002</v>
      </c>
      <c r="I12" s="50" t="s">
        <v>244</v>
      </c>
    </row>
    <row r="13" spans="1:9" x14ac:dyDescent="0.25">
      <c r="A13" s="44" t="s">
        <v>245</v>
      </c>
      <c r="B13" s="1" t="s">
        <v>246</v>
      </c>
      <c r="C13" s="51" t="s">
        <v>247</v>
      </c>
      <c r="D13" s="43" t="s">
        <v>248</v>
      </c>
      <c r="E13" s="44" t="s">
        <v>118</v>
      </c>
      <c r="F13" s="44" t="s">
        <v>119</v>
      </c>
      <c r="G13" s="52">
        <v>8</v>
      </c>
      <c r="H13" s="53">
        <f>G13*'Resumo Comparativo'!$B$5</f>
        <v>44</v>
      </c>
      <c r="I13" s="43" t="s">
        <v>249</v>
      </c>
    </row>
    <row r="14" spans="1:9" ht="24" x14ac:dyDescent="0.25">
      <c r="A14" s="46" t="s">
        <v>250</v>
      </c>
      <c r="B14" s="2" t="s">
        <v>251</v>
      </c>
      <c r="C14" s="54" t="s">
        <v>252</v>
      </c>
      <c r="D14" s="45" t="s">
        <v>253</v>
      </c>
      <c r="E14" s="46" t="s">
        <v>254</v>
      </c>
      <c r="F14" s="46" t="s">
        <v>87</v>
      </c>
      <c r="G14" s="55">
        <v>2.5</v>
      </c>
      <c r="H14" s="56">
        <f>G14*'Resumo Comparativo'!$B$5</f>
        <v>13.75</v>
      </c>
      <c r="I14" s="45" t="s">
        <v>255</v>
      </c>
    </row>
    <row r="15" spans="1:9" x14ac:dyDescent="0.25">
      <c r="B15" s="3" t="s">
        <v>128</v>
      </c>
      <c r="C15" s="47"/>
      <c r="D15" s="47"/>
      <c r="E15" s="47"/>
      <c r="F15" s="47"/>
      <c r="G15" s="48">
        <f>SUM(G20:G21)</f>
        <v>0</v>
      </c>
      <c r="H15" s="49">
        <f>G15*'Resumo Comparativo'!$B$5</f>
        <v>0</v>
      </c>
      <c r="I15" s="50" t="s">
        <v>256</v>
      </c>
    </row>
    <row r="16" spans="1:9" x14ac:dyDescent="0.25">
      <c r="A16" s="46" t="s">
        <v>257</v>
      </c>
      <c r="B16" s="2" t="s">
        <v>131</v>
      </c>
      <c r="C16" s="54" t="s">
        <v>258</v>
      </c>
      <c r="D16" s="45" t="s">
        <v>259</v>
      </c>
      <c r="E16" s="46" t="s">
        <v>27</v>
      </c>
      <c r="F16" s="46" t="s">
        <v>87</v>
      </c>
      <c r="G16" s="55">
        <v>7.67</v>
      </c>
      <c r="H16" s="56">
        <f>G16*'Resumo Comparativo'!$B$5</f>
        <v>42.185000000000002</v>
      </c>
      <c r="I16" s="45" t="s">
        <v>260</v>
      </c>
    </row>
    <row r="17" spans="1:9" x14ac:dyDescent="0.25">
      <c r="A17" s="44" t="s">
        <v>261</v>
      </c>
      <c r="B17" s="1" t="s">
        <v>136</v>
      </c>
      <c r="C17" s="51" t="s">
        <v>262</v>
      </c>
      <c r="D17" s="43" t="s">
        <v>263</v>
      </c>
      <c r="E17" s="44" t="s">
        <v>139</v>
      </c>
      <c r="F17" s="44" t="s">
        <v>140</v>
      </c>
      <c r="G17" s="52">
        <v>5</v>
      </c>
      <c r="H17" s="53">
        <f>G17*'Resumo Comparativo'!$B$5</f>
        <v>27.5</v>
      </c>
      <c r="I17" s="43" t="s">
        <v>264</v>
      </c>
    </row>
    <row r="18" spans="1:9" x14ac:dyDescent="0.25">
      <c r="B18" s="3" t="s">
        <v>142</v>
      </c>
      <c r="C18" s="47"/>
      <c r="D18" s="47"/>
      <c r="E18" s="47"/>
      <c r="F18" s="47"/>
      <c r="G18" s="48">
        <f>G23</f>
        <v>11.649999999999999</v>
      </c>
      <c r="H18" s="49">
        <f>G18*'Resumo Comparativo'!$B$5</f>
        <v>64.074999999999989</v>
      </c>
      <c r="I18" s="50" t="s">
        <v>265</v>
      </c>
    </row>
    <row r="19" spans="1:9" x14ac:dyDescent="0.25">
      <c r="A19" s="44" t="s">
        <v>266</v>
      </c>
      <c r="B19" s="1" t="s">
        <v>145</v>
      </c>
      <c r="C19" s="51" t="s">
        <v>267</v>
      </c>
      <c r="D19" s="43" t="s">
        <v>268</v>
      </c>
      <c r="E19" s="44" t="s">
        <v>30</v>
      </c>
      <c r="F19" s="44" t="s">
        <v>148</v>
      </c>
      <c r="G19" s="52">
        <v>0</v>
      </c>
      <c r="H19" s="53">
        <f>G19*'Resumo Comparativo'!$B$5</f>
        <v>0</v>
      </c>
      <c r="I19" s="43" t="s">
        <v>269</v>
      </c>
    </row>
    <row r="23" spans="1:9" ht="33" x14ac:dyDescent="0.25">
      <c r="A23" s="58" t="s">
        <v>150</v>
      </c>
      <c r="B23" s="121" t="s">
        <v>151</v>
      </c>
      <c r="C23" s="122"/>
      <c r="D23" s="122"/>
      <c r="E23" s="122"/>
      <c r="F23" s="122"/>
      <c r="G23" s="59">
        <f>G6+G11+G14+G19+G22</f>
        <v>11.649999999999999</v>
      </c>
      <c r="H23" s="60">
        <f>G23*'Resumo Comparativo'!$B$5</f>
        <v>64.074999999999989</v>
      </c>
      <c r="I23" s="61" t="s">
        <v>152</v>
      </c>
    </row>
    <row r="24" spans="1:9" ht="16.5" x14ac:dyDescent="0.25">
      <c r="A24" s="79"/>
      <c r="B24" s="80"/>
      <c r="C24" s="81"/>
      <c r="D24" s="81"/>
      <c r="E24" s="81"/>
      <c r="F24" s="81"/>
      <c r="G24" s="82"/>
      <c r="H24" s="83"/>
      <c r="I24" s="84"/>
    </row>
    <row r="25" spans="1:9" x14ac:dyDescent="0.25">
      <c r="A25" s="119" t="s">
        <v>153</v>
      </c>
      <c r="B25" s="94"/>
      <c r="C25" s="94"/>
      <c r="D25" s="94"/>
      <c r="E25" s="94"/>
      <c r="F25" s="94"/>
      <c r="G25" s="94"/>
      <c r="H25" s="94"/>
      <c r="I25" s="94"/>
    </row>
    <row r="26" spans="1:9" x14ac:dyDescent="0.25">
      <c r="A26" s="71" t="s">
        <v>270</v>
      </c>
      <c r="B26" s="4" t="s">
        <v>155</v>
      </c>
      <c r="C26" s="69" t="s">
        <v>271</v>
      </c>
      <c r="D26" s="70" t="s">
        <v>272</v>
      </c>
      <c r="E26" s="71" t="s">
        <v>158</v>
      </c>
      <c r="F26" s="71" t="s">
        <v>87</v>
      </c>
      <c r="G26" s="63">
        <f>G23+9.11</f>
        <v>20.759999999999998</v>
      </c>
      <c r="H26" s="64">
        <f>G26*'Resumo Comparativo'!$B$5</f>
        <v>114.17999999999999</v>
      </c>
      <c r="I26" s="5" t="s">
        <v>273</v>
      </c>
    </row>
    <row r="27" spans="1:9" x14ac:dyDescent="0.25">
      <c r="A27" s="72"/>
      <c r="B27" s="73"/>
      <c r="C27" s="74"/>
      <c r="D27" s="75"/>
      <c r="E27" s="72"/>
      <c r="F27" s="72"/>
      <c r="G27" s="76"/>
      <c r="H27" s="77"/>
      <c r="I27" s="78"/>
    </row>
    <row r="28" spans="1:9" x14ac:dyDescent="0.25">
      <c r="A28" s="119" t="s">
        <v>160</v>
      </c>
      <c r="B28" s="94"/>
      <c r="C28" s="94"/>
      <c r="D28" s="94"/>
      <c r="E28" s="94"/>
      <c r="F28" s="94"/>
      <c r="G28" s="94"/>
      <c r="H28" s="94"/>
      <c r="I28" s="94"/>
    </row>
    <row r="29" spans="1:9" x14ac:dyDescent="0.25">
      <c r="A29" s="68" t="s">
        <v>274</v>
      </c>
      <c r="B29" s="6" t="s">
        <v>275</v>
      </c>
      <c r="C29" s="66" t="s">
        <v>276</v>
      </c>
      <c r="D29" s="67" t="s">
        <v>277</v>
      </c>
      <c r="E29" s="68" t="s">
        <v>18</v>
      </c>
      <c r="F29" s="68" t="s">
        <v>165</v>
      </c>
      <c r="G29" s="62">
        <f>G6+G11+G14+G22+0</f>
        <v>11.649999999999999</v>
      </c>
      <c r="H29" s="65">
        <f>G29*'Resumo Comparativo'!$B$5</f>
        <v>64.074999999999989</v>
      </c>
      <c r="I29" s="7" t="s">
        <v>278</v>
      </c>
    </row>
  </sheetData>
  <mergeCells count="5">
    <mergeCell ref="A25:I25"/>
    <mergeCell ref="A28:I28"/>
    <mergeCell ref="A1:I2"/>
    <mergeCell ref="B23:F23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tabSelected="1" topLeftCell="A2" zoomScaleNormal="100" workbookViewId="0">
      <selection activeCell="I18" sqref="I18"/>
    </sheetView>
  </sheetViews>
  <sheetFormatPr defaultRowHeight="15" x14ac:dyDescent="0.25"/>
  <cols>
    <col min="1" max="8" width="25.7109375" customWidth="1"/>
  </cols>
  <sheetData>
    <row r="1" spans="1:8" x14ac:dyDescent="0.25">
      <c r="A1" s="86" t="s">
        <v>279</v>
      </c>
      <c r="B1" s="87"/>
      <c r="C1" s="87"/>
      <c r="D1" s="87"/>
      <c r="E1" s="87"/>
      <c r="F1" s="87"/>
      <c r="G1" s="87"/>
      <c r="H1" s="87"/>
    </row>
    <row r="2" spans="1:8" x14ac:dyDescent="0.25">
      <c r="A2" s="87"/>
      <c r="B2" s="87"/>
      <c r="C2" s="87"/>
      <c r="D2" s="87"/>
      <c r="E2" s="87"/>
      <c r="F2" s="87"/>
      <c r="G2" s="87"/>
      <c r="H2" s="87"/>
    </row>
    <row r="3" spans="1:8" x14ac:dyDescent="0.25">
      <c r="A3" s="93" t="s">
        <v>280</v>
      </c>
      <c r="B3" s="94"/>
      <c r="C3" s="94"/>
      <c r="D3" s="94"/>
      <c r="E3" s="94"/>
      <c r="F3" s="94"/>
      <c r="G3" s="94"/>
      <c r="H3" s="94"/>
    </row>
    <row r="4" spans="1:8" x14ac:dyDescent="0.25">
      <c r="A4" s="95" t="s">
        <v>281</v>
      </c>
      <c r="B4" s="95"/>
      <c r="C4" s="95"/>
      <c r="D4" s="95"/>
      <c r="E4" s="89" t="s">
        <v>282</v>
      </c>
      <c r="F4" s="90"/>
      <c r="G4" s="90"/>
      <c r="H4" s="90"/>
    </row>
    <row r="5" spans="1:8" ht="13.5" customHeight="1" x14ac:dyDescent="0.25">
      <c r="A5" s="88"/>
      <c r="B5" s="88"/>
      <c r="C5" s="88"/>
      <c r="D5" s="88"/>
      <c r="E5" s="88"/>
      <c r="F5" s="88"/>
      <c r="G5" s="88"/>
      <c r="H5" s="88"/>
    </row>
    <row r="6" spans="1:8" x14ac:dyDescent="0.25">
      <c r="A6" s="88"/>
      <c r="B6" s="88"/>
      <c r="C6" s="88"/>
      <c r="D6" s="88"/>
      <c r="E6" s="88"/>
      <c r="F6" s="88"/>
      <c r="G6" s="88"/>
      <c r="H6" s="88"/>
    </row>
    <row r="7" spans="1:8" x14ac:dyDescent="0.25">
      <c r="A7" s="88"/>
      <c r="B7" s="88"/>
      <c r="C7" s="88"/>
      <c r="D7" s="88"/>
      <c r="E7" s="88"/>
      <c r="F7" s="88"/>
      <c r="G7" s="88"/>
      <c r="H7" s="88"/>
    </row>
    <row r="8" spans="1:8" x14ac:dyDescent="0.25">
      <c r="A8" s="88"/>
      <c r="B8" s="88"/>
      <c r="C8" s="88"/>
      <c r="D8" s="88"/>
      <c r="E8" s="88"/>
      <c r="F8" s="88"/>
      <c r="G8" s="88"/>
      <c r="H8" s="88"/>
    </row>
    <row r="9" spans="1:8" x14ac:dyDescent="0.25">
      <c r="A9" s="88"/>
      <c r="B9" s="88"/>
      <c r="C9" s="88"/>
      <c r="D9" s="88"/>
      <c r="E9" s="88"/>
      <c r="F9" s="88"/>
      <c r="G9" s="88"/>
      <c r="H9" s="88"/>
    </row>
    <row r="10" spans="1:8" x14ac:dyDescent="0.25">
      <c r="A10" s="88"/>
      <c r="B10" s="88"/>
      <c r="C10" s="88"/>
      <c r="D10" s="88"/>
      <c r="E10" s="88"/>
      <c r="F10" s="88"/>
      <c r="G10" s="88"/>
      <c r="H10" s="88"/>
    </row>
    <row r="11" spans="1:8" x14ac:dyDescent="0.25">
      <c r="A11" s="88"/>
      <c r="B11" s="88"/>
      <c r="C11" s="88"/>
      <c r="D11" s="88"/>
      <c r="E11" s="88"/>
      <c r="F11" s="88"/>
      <c r="G11" s="88"/>
      <c r="H11" s="88"/>
    </row>
    <row r="12" spans="1:8" x14ac:dyDescent="0.25">
      <c r="A12" s="88"/>
      <c r="B12" s="88"/>
      <c r="C12" s="88"/>
      <c r="D12" s="88"/>
      <c r="E12" s="88"/>
      <c r="F12" s="88"/>
      <c r="G12" s="88"/>
      <c r="H12" s="88"/>
    </row>
    <row r="13" spans="1:8" x14ac:dyDescent="0.25">
      <c r="A13" s="88"/>
      <c r="B13" s="88"/>
      <c r="C13" s="88"/>
      <c r="D13" s="88"/>
      <c r="E13" s="88"/>
      <c r="F13" s="88"/>
      <c r="G13" s="88"/>
      <c r="H13" s="88"/>
    </row>
    <row r="14" spans="1:8" x14ac:dyDescent="0.25">
      <c r="A14" s="88"/>
      <c r="B14" s="88"/>
      <c r="C14" s="88"/>
      <c r="D14" s="88"/>
      <c r="E14" s="88"/>
      <c r="F14" s="88"/>
      <c r="G14" s="88"/>
      <c r="H14" s="88"/>
    </row>
    <row r="15" spans="1:8" x14ac:dyDescent="0.25">
      <c r="A15" s="88"/>
      <c r="B15" s="88"/>
      <c r="C15" s="88"/>
      <c r="D15" s="88"/>
      <c r="E15" s="88"/>
      <c r="F15" s="88"/>
      <c r="G15" s="88"/>
      <c r="H15" s="88"/>
    </row>
    <row r="16" spans="1:8" x14ac:dyDescent="0.25">
      <c r="A16" s="88"/>
      <c r="B16" s="88"/>
      <c r="C16" s="88"/>
      <c r="D16" s="88"/>
      <c r="E16" s="88"/>
      <c r="F16" s="88"/>
      <c r="G16" s="88"/>
      <c r="H16" s="88"/>
    </row>
    <row r="17" spans="1:8" x14ac:dyDescent="0.25">
      <c r="A17" s="88"/>
      <c r="B17" s="88"/>
      <c r="C17" s="88"/>
      <c r="D17" s="88"/>
      <c r="E17" s="88"/>
      <c r="F17" s="88"/>
      <c r="G17" s="88"/>
      <c r="H17" s="88"/>
    </row>
    <row r="18" spans="1:8" x14ac:dyDescent="0.25">
      <c r="A18" s="88"/>
      <c r="B18" s="88"/>
      <c r="C18" s="88"/>
      <c r="D18" s="88"/>
      <c r="E18" s="88"/>
      <c r="F18" s="88"/>
      <c r="G18" s="88"/>
      <c r="H18" s="88"/>
    </row>
    <row r="19" spans="1:8" x14ac:dyDescent="0.25">
      <c r="A19" s="88"/>
      <c r="B19" s="88"/>
      <c r="C19" s="88"/>
      <c r="D19" s="88"/>
      <c r="E19" s="88"/>
      <c r="F19" s="88"/>
      <c r="G19" s="88"/>
      <c r="H19" s="88"/>
    </row>
    <row r="20" spans="1:8" x14ac:dyDescent="0.25">
      <c r="A20" s="88"/>
      <c r="B20" s="88"/>
      <c r="C20" s="88"/>
      <c r="D20" s="88"/>
      <c r="E20" s="88"/>
      <c r="F20" s="88"/>
      <c r="G20" s="88"/>
      <c r="H20" s="88"/>
    </row>
    <row r="21" spans="1:8" x14ac:dyDescent="0.25">
      <c r="A21" s="88"/>
      <c r="B21" s="88"/>
      <c r="C21" s="88"/>
      <c r="D21" s="88"/>
      <c r="E21" s="88"/>
      <c r="F21" s="88"/>
      <c r="G21" s="88"/>
      <c r="H21" s="88"/>
    </row>
    <row r="22" spans="1:8" x14ac:dyDescent="0.25">
      <c r="A22" s="88"/>
      <c r="B22" s="88"/>
      <c r="C22" s="88"/>
      <c r="D22" s="88"/>
      <c r="E22" s="88"/>
      <c r="F22" s="88"/>
      <c r="G22" s="88"/>
      <c r="H22" s="88"/>
    </row>
    <row r="23" spans="1:8" x14ac:dyDescent="0.25">
      <c r="A23" s="88"/>
      <c r="B23" s="88"/>
      <c r="C23" s="88"/>
      <c r="D23" s="88"/>
      <c r="E23" s="88"/>
      <c r="F23" s="88"/>
      <c r="G23" s="88"/>
      <c r="H23" s="88"/>
    </row>
    <row r="24" spans="1:8" x14ac:dyDescent="0.25">
      <c r="A24" s="88"/>
      <c r="B24" s="88"/>
      <c r="C24" s="88"/>
      <c r="D24" s="88"/>
      <c r="E24" s="88"/>
      <c r="F24" s="88"/>
      <c r="G24" s="88"/>
      <c r="H24" s="88"/>
    </row>
    <row r="25" spans="1:8" x14ac:dyDescent="0.25">
      <c r="A25" s="88"/>
      <c r="B25" s="88"/>
      <c r="C25" s="88"/>
      <c r="D25" s="88"/>
      <c r="E25" s="88"/>
      <c r="F25" s="88"/>
      <c r="G25" s="88"/>
      <c r="H25" s="88"/>
    </row>
    <row r="26" spans="1:8" x14ac:dyDescent="0.25">
      <c r="A26" s="88"/>
      <c r="B26" s="88"/>
      <c r="C26" s="88"/>
      <c r="D26" s="88"/>
      <c r="E26" s="88"/>
      <c r="F26" s="88"/>
      <c r="G26" s="88"/>
      <c r="H26" s="88"/>
    </row>
    <row r="27" spans="1:8" x14ac:dyDescent="0.25">
      <c r="A27" s="88"/>
      <c r="B27" s="88"/>
      <c r="C27" s="88"/>
      <c r="D27" s="88"/>
      <c r="E27" s="88"/>
      <c r="F27" s="88"/>
      <c r="G27" s="88"/>
      <c r="H27" s="88"/>
    </row>
    <row r="28" spans="1:8" x14ac:dyDescent="0.25">
      <c r="A28" s="85"/>
      <c r="B28" s="85"/>
      <c r="C28" s="85"/>
      <c r="D28" s="85"/>
      <c r="E28" s="85"/>
      <c r="F28" s="85"/>
      <c r="G28" s="85"/>
      <c r="H28" s="85"/>
    </row>
    <row r="29" spans="1:8" x14ac:dyDescent="0.25">
      <c r="A29" s="91" t="s">
        <v>283</v>
      </c>
      <c r="B29" s="90"/>
      <c r="C29" s="90"/>
      <c r="D29" s="90"/>
      <c r="E29" s="92" t="s">
        <v>284</v>
      </c>
      <c r="F29" s="90"/>
      <c r="G29" s="90"/>
      <c r="H29" s="90"/>
    </row>
    <row r="30" spans="1:8" ht="13.5" customHeight="1" x14ac:dyDescent="0.25">
      <c r="A30" s="88"/>
      <c r="B30" s="88"/>
      <c r="C30" s="88"/>
      <c r="D30" s="88"/>
      <c r="E30" s="88"/>
      <c r="F30" s="88"/>
      <c r="G30" s="88"/>
      <c r="H30" s="88"/>
    </row>
    <row r="31" spans="1:8" x14ac:dyDescent="0.25">
      <c r="A31" s="88"/>
      <c r="B31" s="88"/>
      <c r="C31" s="88"/>
      <c r="D31" s="88"/>
      <c r="E31" s="88"/>
      <c r="F31" s="88"/>
      <c r="G31" s="88"/>
      <c r="H31" s="88"/>
    </row>
    <row r="32" spans="1:8" x14ac:dyDescent="0.25">
      <c r="A32" s="88"/>
      <c r="B32" s="88"/>
      <c r="C32" s="88"/>
      <c r="D32" s="88"/>
      <c r="E32" s="88"/>
      <c r="F32" s="88"/>
      <c r="G32" s="88"/>
      <c r="H32" s="88"/>
    </row>
    <row r="33" spans="1:8" x14ac:dyDescent="0.25">
      <c r="A33" s="88"/>
      <c r="B33" s="88"/>
      <c r="C33" s="88"/>
      <c r="D33" s="88"/>
      <c r="E33" s="88"/>
      <c r="F33" s="88"/>
      <c r="G33" s="88"/>
      <c r="H33" s="88"/>
    </row>
    <row r="34" spans="1:8" x14ac:dyDescent="0.25">
      <c r="A34" s="88"/>
      <c r="B34" s="88"/>
      <c r="C34" s="88"/>
      <c r="D34" s="88"/>
      <c r="E34" s="88"/>
      <c r="F34" s="88"/>
      <c r="G34" s="88"/>
      <c r="H34" s="88"/>
    </row>
    <row r="35" spans="1:8" x14ac:dyDescent="0.25">
      <c r="A35" s="88"/>
      <c r="B35" s="88"/>
      <c r="C35" s="88"/>
      <c r="D35" s="88"/>
      <c r="E35" s="88"/>
      <c r="F35" s="88"/>
      <c r="G35" s="88"/>
      <c r="H35" s="88"/>
    </row>
    <row r="36" spans="1:8" x14ac:dyDescent="0.25">
      <c r="A36" s="88"/>
      <c r="B36" s="88"/>
      <c r="C36" s="88"/>
      <c r="D36" s="88"/>
      <c r="E36" s="88"/>
      <c r="F36" s="88"/>
      <c r="G36" s="88"/>
      <c r="H36" s="88"/>
    </row>
    <row r="37" spans="1:8" x14ac:dyDescent="0.25">
      <c r="A37" s="88"/>
      <c r="B37" s="88"/>
      <c r="C37" s="88"/>
      <c r="D37" s="88"/>
      <c r="E37" s="88"/>
      <c r="F37" s="88"/>
      <c r="G37" s="88"/>
      <c r="H37" s="88"/>
    </row>
    <row r="38" spans="1:8" x14ac:dyDescent="0.25">
      <c r="A38" s="88"/>
      <c r="B38" s="88"/>
      <c r="C38" s="88"/>
      <c r="D38" s="88"/>
      <c r="E38" s="88"/>
      <c r="F38" s="88"/>
      <c r="G38" s="88"/>
      <c r="H38" s="88"/>
    </row>
    <row r="39" spans="1:8" x14ac:dyDescent="0.25">
      <c r="A39" s="88"/>
      <c r="B39" s="88"/>
      <c r="C39" s="88"/>
      <c r="D39" s="88"/>
      <c r="E39" s="88"/>
      <c r="F39" s="88"/>
      <c r="G39" s="88"/>
      <c r="H39" s="88"/>
    </row>
    <row r="40" spans="1:8" x14ac:dyDescent="0.25">
      <c r="A40" s="88"/>
      <c r="B40" s="88"/>
      <c r="C40" s="88"/>
      <c r="D40" s="88"/>
      <c r="E40" s="88"/>
      <c r="F40" s="88"/>
      <c r="G40" s="88"/>
      <c r="H40" s="88"/>
    </row>
    <row r="41" spans="1:8" x14ac:dyDescent="0.25">
      <c r="A41" s="88"/>
      <c r="B41" s="88"/>
      <c r="C41" s="88"/>
      <c r="D41" s="88"/>
      <c r="E41" s="88"/>
      <c r="F41" s="88"/>
      <c r="G41" s="88"/>
      <c r="H41" s="88"/>
    </row>
    <row r="42" spans="1:8" x14ac:dyDescent="0.25">
      <c r="A42" s="88"/>
      <c r="B42" s="88"/>
      <c r="C42" s="88"/>
      <c r="D42" s="88"/>
      <c r="E42" s="88"/>
      <c r="F42" s="88"/>
      <c r="G42" s="88"/>
      <c r="H42" s="88"/>
    </row>
    <row r="43" spans="1:8" x14ac:dyDescent="0.25">
      <c r="A43" s="88"/>
      <c r="B43" s="88"/>
      <c r="C43" s="88"/>
      <c r="D43" s="88"/>
      <c r="E43" s="88"/>
      <c r="F43" s="88"/>
      <c r="G43" s="88"/>
      <c r="H43" s="88"/>
    </row>
    <row r="44" spans="1:8" x14ac:dyDescent="0.25">
      <c r="A44" s="88"/>
      <c r="B44" s="88"/>
      <c r="C44" s="88"/>
      <c r="D44" s="88"/>
      <c r="E44" s="88"/>
      <c r="F44" s="88"/>
      <c r="G44" s="88"/>
      <c r="H44" s="88"/>
    </row>
    <row r="45" spans="1:8" x14ac:dyDescent="0.25">
      <c r="A45" s="88"/>
      <c r="B45" s="88"/>
      <c r="C45" s="88"/>
      <c r="D45" s="88"/>
      <c r="E45" s="88"/>
      <c r="F45" s="88"/>
      <c r="G45" s="88"/>
      <c r="H45" s="88"/>
    </row>
    <row r="46" spans="1:8" x14ac:dyDescent="0.25">
      <c r="A46" s="88"/>
      <c r="B46" s="88"/>
      <c r="C46" s="88"/>
      <c r="D46" s="88"/>
      <c r="E46" s="88"/>
      <c r="F46" s="88"/>
      <c r="G46" s="88"/>
      <c r="H46" s="88"/>
    </row>
    <row r="47" spans="1:8" x14ac:dyDescent="0.25">
      <c r="A47" s="88"/>
      <c r="B47" s="88"/>
      <c r="C47" s="88"/>
      <c r="D47" s="88"/>
      <c r="E47" s="88"/>
      <c r="F47" s="88"/>
      <c r="G47" s="88"/>
      <c r="H47" s="88"/>
    </row>
    <row r="48" spans="1:8" x14ac:dyDescent="0.25">
      <c r="A48" s="88"/>
      <c r="B48" s="88"/>
      <c r="C48" s="88"/>
      <c r="D48" s="88"/>
      <c r="E48" s="88"/>
      <c r="F48" s="88"/>
      <c r="G48" s="88"/>
      <c r="H48" s="88"/>
    </row>
    <row r="49" spans="1:8" x14ac:dyDescent="0.25">
      <c r="A49" s="88"/>
      <c r="B49" s="88"/>
      <c r="C49" s="88"/>
      <c r="D49" s="88"/>
      <c r="E49" s="88"/>
      <c r="F49" s="88"/>
      <c r="G49" s="88"/>
      <c r="H49" s="88"/>
    </row>
    <row r="50" spans="1:8" x14ac:dyDescent="0.25">
      <c r="A50" s="88"/>
      <c r="B50" s="88"/>
      <c r="C50" s="88"/>
      <c r="D50" s="88"/>
      <c r="E50" s="88"/>
      <c r="F50" s="88"/>
      <c r="G50" s="88"/>
      <c r="H50" s="88"/>
    </row>
    <row r="51" spans="1:8" x14ac:dyDescent="0.25">
      <c r="A51" s="88"/>
      <c r="B51" s="88"/>
      <c r="C51" s="88"/>
      <c r="D51" s="88"/>
      <c r="E51" s="88"/>
      <c r="F51" s="88"/>
      <c r="G51" s="88"/>
      <c r="H51" s="88"/>
    </row>
    <row r="52" spans="1:8" x14ac:dyDescent="0.25">
      <c r="A52" s="88"/>
      <c r="B52" s="88"/>
      <c r="C52" s="88"/>
      <c r="D52" s="88"/>
      <c r="E52" s="88"/>
      <c r="F52" s="88"/>
      <c r="G52" s="88"/>
      <c r="H52" s="88"/>
    </row>
  </sheetData>
  <mergeCells count="10">
    <mergeCell ref="A30:D52"/>
    <mergeCell ref="E30:H52"/>
    <mergeCell ref="A1:H2"/>
    <mergeCell ref="A5:D27"/>
    <mergeCell ref="E4:H4"/>
    <mergeCell ref="E5:H27"/>
    <mergeCell ref="A29:D29"/>
    <mergeCell ref="E29:H29"/>
    <mergeCell ref="A3:H3"/>
    <mergeCell ref="A4:D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 Comparativo</vt:lpstr>
      <vt:lpstr>AWS - Detalhamento</vt:lpstr>
      <vt:lpstr>Azure - Detalhamento</vt:lpstr>
      <vt:lpstr>GCP - Detalhamento</vt:lpstr>
      <vt:lpstr>Prints &amp; Evidências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Portilho - Pinhalense S/A</cp:lastModifiedBy>
  <dcterms:created xsi:type="dcterms:W3CDTF">2026-09-03T10:31:15Z</dcterms:created>
  <dcterms:modified xsi:type="dcterms:W3CDTF">2026-09-03T11:39:55Z</dcterms:modified>
</cp:coreProperties>
</file>